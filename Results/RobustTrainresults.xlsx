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taofeng/Nutstore Files/中文论文/Mypaper/WorkingPaper/SCI/2025年写论文/Robust overnight train logistics service network design/Second revision from JOC/Githubcode/mycode/Results/UploadData/resutls/"/>
    </mc:Choice>
  </mc:AlternateContent>
  <xr:revisionPtr revIDLastSave="0" documentId="13_ncr:1_{BEE7E79C-B62D-134B-9FBA-F688887F9331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Section5.1-NeBACv.s.CCG" sheetId="3" r:id="rId1"/>
    <sheet name="Section5.2-Eva enhancement" sheetId="4" r:id="rId2"/>
    <sheet name="Section5.3-RobustnessAssess" sheetId="7" r:id="rId3"/>
    <sheet name="SectionEC.4.4-SensiAnaly" sheetId="5" r:id="rId4"/>
    <sheet name="SectionEC.5-v.s.ArcFlowModel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7" i="4" l="1"/>
  <c r="AS27" i="4"/>
  <c r="AR27" i="4"/>
  <c r="AQ27" i="4"/>
  <c r="V49" i="3"/>
  <c r="P49" i="3"/>
  <c r="S49" i="3"/>
  <c r="T49" i="3"/>
  <c r="U49" i="3"/>
  <c r="O49" i="3"/>
  <c r="E72" i="3"/>
  <c r="I72" i="3"/>
  <c r="R44" i="3"/>
  <c r="R49" i="3" s="1"/>
  <c r="R45" i="3"/>
  <c r="R46" i="3"/>
  <c r="R47" i="3"/>
  <c r="R48" i="3"/>
  <c r="R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43" i="3"/>
  <c r="E44" i="3"/>
  <c r="Q43" i="3" s="1"/>
  <c r="E45" i="3"/>
  <c r="E46" i="3"/>
  <c r="E47" i="3"/>
  <c r="E48" i="3"/>
  <c r="Q44" i="3" s="1"/>
  <c r="E49" i="3"/>
  <c r="E50" i="3"/>
  <c r="E51" i="3"/>
  <c r="E52" i="3"/>
  <c r="E53" i="3"/>
  <c r="E54" i="3"/>
  <c r="Q45" i="3" s="1"/>
  <c r="E55" i="3"/>
  <c r="E56" i="3"/>
  <c r="E57" i="3"/>
  <c r="E58" i="3"/>
  <c r="E59" i="3"/>
  <c r="E60" i="3"/>
  <c r="Q46" i="3" s="1"/>
  <c r="E61" i="3"/>
  <c r="E62" i="3"/>
  <c r="E63" i="3"/>
  <c r="Q47" i="3" s="1"/>
  <c r="E64" i="3"/>
  <c r="E65" i="3"/>
  <c r="E66" i="3"/>
  <c r="E67" i="3"/>
  <c r="E68" i="3"/>
  <c r="E69" i="3"/>
  <c r="Q48" i="3" s="1"/>
  <c r="E70" i="3"/>
  <c r="E71" i="3"/>
  <c r="E4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U5" i="3" s="1"/>
  <c r="I7" i="3"/>
  <c r="I6" i="3"/>
  <c r="I5" i="3"/>
  <c r="I4" i="3"/>
  <c r="I3" i="3"/>
  <c r="AT26" i="4"/>
  <c r="AS26" i="4"/>
  <c r="AT25" i="4"/>
  <c r="AS25" i="4"/>
  <c r="AT24" i="4"/>
  <c r="AS24" i="4"/>
  <c r="AT23" i="4"/>
  <c r="AS23" i="4"/>
  <c r="AT22" i="4"/>
  <c r="AS22" i="4"/>
  <c r="AT21" i="4"/>
  <c r="AS21" i="4"/>
  <c r="AT20" i="4"/>
  <c r="AS20" i="4"/>
  <c r="AT19" i="4"/>
  <c r="AS19" i="4"/>
  <c r="AT18" i="4"/>
  <c r="AS18" i="4"/>
  <c r="AT17" i="4"/>
  <c r="AS17" i="4"/>
  <c r="AV4" i="4"/>
  <c r="AV13" i="4"/>
  <c r="AU10" i="4"/>
  <c r="AU11" i="4"/>
  <c r="AU12" i="4"/>
  <c r="AU3" i="4"/>
  <c r="AT21" i="5"/>
  <c r="AT20" i="5"/>
  <c r="AT19" i="5"/>
  <c r="AQ22" i="5"/>
  <c r="AL22" i="5"/>
  <c r="AG22" i="5"/>
  <c r="AB22" i="5"/>
  <c r="AQ17" i="5"/>
  <c r="AL17" i="5"/>
  <c r="AG17" i="5"/>
  <c r="AB17" i="5"/>
  <c r="AQ12" i="5"/>
  <c r="AP12" i="5"/>
  <c r="AL12" i="5"/>
  <c r="AG12" i="5"/>
  <c r="AB12" i="5"/>
  <c r="AK7" i="5"/>
  <c r="AE7" i="5"/>
  <c r="AQ7" i="5"/>
  <c r="AL7" i="5"/>
  <c r="AG7" i="5"/>
  <c r="AB7" i="5"/>
  <c r="AP21" i="5"/>
  <c r="AP20" i="5"/>
  <c r="AP19" i="5"/>
  <c r="AP18" i="5"/>
  <c r="AP22" i="5" s="1"/>
  <c r="AP16" i="5"/>
  <c r="AP15" i="5"/>
  <c r="AP14" i="5"/>
  <c r="AP17" i="5" s="1"/>
  <c r="AP13" i="5"/>
  <c r="AP11" i="5"/>
  <c r="AP10" i="5"/>
  <c r="AP9" i="5"/>
  <c r="AP8" i="5"/>
  <c r="AP6" i="5"/>
  <c r="AP5" i="5"/>
  <c r="AP4" i="5"/>
  <c r="AP3" i="5"/>
  <c r="AP7" i="5" s="1"/>
  <c r="AK21" i="5"/>
  <c r="AK20" i="5"/>
  <c r="AK22" i="5" s="1"/>
  <c r="AK19" i="5"/>
  <c r="AK18" i="5"/>
  <c r="AK16" i="5"/>
  <c r="AK15" i="5"/>
  <c r="AK14" i="5"/>
  <c r="AK13" i="5"/>
  <c r="AK17" i="5" s="1"/>
  <c r="AK11" i="5"/>
  <c r="AK10" i="5"/>
  <c r="AK9" i="5"/>
  <c r="AK8" i="5"/>
  <c r="AK12" i="5" s="1"/>
  <c r="AK6" i="5"/>
  <c r="AK5" i="5"/>
  <c r="AK4" i="5"/>
  <c r="AK3" i="5"/>
  <c r="AF21" i="5"/>
  <c r="AF20" i="5"/>
  <c r="AF19" i="5"/>
  <c r="AF18" i="5"/>
  <c r="AF22" i="5" s="1"/>
  <c r="AF16" i="5"/>
  <c r="AF17" i="5" s="1"/>
  <c r="AF15" i="5"/>
  <c r="AF14" i="5"/>
  <c r="AF13" i="5"/>
  <c r="AF11" i="5"/>
  <c r="AF10" i="5"/>
  <c r="AF9" i="5"/>
  <c r="AF8" i="5"/>
  <c r="AF12" i="5" s="1"/>
  <c r="AF6" i="5"/>
  <c r="AF5" i="5"/>
  <c r="AF4" i="5"/>
  <c r="AF7" i="5" s="1"/>
  <c r="AF3" i="5"/>
  <c r="AA21" i="5"/>
  <c r="AA20" i="5"/>
  <c r="AA19" i="5"/>
  <c r="AA18" i="5"/>
  <c r="AA22" i="5" s="1"/>
  <c r="AA16" i="5"/>
  <c r="AA15" i="5"/>
  <c r="AA14" i="5"/>
  <c r="AA13" i="5"/>
  <c r="AA17" i="5" s="1"/>
  <c r="AA11" i="5"/>
  <c r="AA10" i="5"/>
  <c r="AA12" i="5" s="1"/>
  <c r="AA9" i="5"/>
  <c r="AA8" i="5"/>
  <c r="AA6" i="5"/>
  <c r="AA5" i="5"/>
  <c r="AA4" i="5"/>
  <c r="AA3" i="5"/>
  <c r="AT18" i="5"/>
  <c r="AT22" i="5" s="1"/>
  <c r="AS21" i="5"/>
  <c r="AR21" i="5"/>
  <c r="AS20" i="5"/>
  <c r="AT16" i="5"/>
  <c r="AS19" i="5"/>
  <c r="AT15" i="5"/>
  <c r="AS18" i="5"/>
  <c r="AT14" i="5"/>
  <c r="AT17" i="5" s="1"/>
  <c r="AS16" i="5"/>
  <c r="AT13" i="5"/>
  <c r="AS15" i="5"/>
  <c r="AS14" i="5"/>
  <c r="AT11" i="5"/>
  <c r="AS13" i="5"/>
  <c r="AS17" i="5" s="1"/>
  <c r="AT10" i="5"/>
  <c r="AS11" i="5"/>
  <c r="AT9" i="5"/>
  <c r="AS10" i="5"/>
  <c r="AT8" i="5"/>
  <c r="AT12" i="5" s="1"/>
  <c r="AS9" i="5"/>
  <c r="AR9" i="5"/>
  <c r="AT7" i="5"/>
  <c r="AS8" i="5"/>
  <c r="AS12" i="5" s="1"/>
  <c r="AT6" i="5"/>
  <c r="AS6" i="5"/>
  <c r="AT5" i="5"/>
  <c r="AS5" i="5"/>
  <c r="AT4" i="5"/>
  <c r="AS4" i="5"/>
  <c r="AR4" i="5"/>
  <c r="AT3" i="5"/>
  <c r="AS3" i="5"/>
  <c r="AS7" i="5" s="1"/>
  <c r="AO21" i="5"/>
  <c r="AN21" i="5"/>
  <c r="AO20" i="5"/>
  <c r="AN20" i="5"/>
  <c r="AO19" i="5"/>
  <c r="AO22" i="5" s="1"/>
  <c r="AN19" i="5"/>
  <c r="AO18" i="5"/>
  <c r="AN18" i="5"/>
  <c r="AN22" i="5" s="1"/>
  <c r="AO16" i="5"/>
  <c r="AN16" i="5"/>
  <c r="AM16" i="5"/>
  <c r="AO15" i="5"/>
  <c r="AO17" i="5" s="1"/>
  <c r="AN15" i="5"/>
  <c r="AO14" i="5"/>
  <c r="AN14" i="5"/>
  <c r="AO13" i="5"/>
  <c r="AN13" i="5"/>
  <c r="AN17" i="5" s="1"/>
  <c r="AO11" i="5"/>
  <c r="AN11" i="5"/>
  <c r="AM11" i="5"/>
  <c r="AO10" i="5"/>
  <c r="AN10" i="5"/>
  <c r="AO9" i="5"/>
  <c r="AN9" i="5"/>
  <c r="AO8" i="5"/>
  <c r="AO12" i="5" s="1"/>
  <c r="AN8" i="5"/>
  <c r="AN12" i="5" s="1"/>
  <c r="AO6" i="5"/>
  <c r="AN6" i="5"/>
  <c r="AO5" i="5"/>
  <c r="AN5" i="5"/>
  <c r="AO4" i="5"/>
  <c r="AN4" i="5"/>
  <c r="AM4" i="5"/>
  <c r="AO3" i="5"/>
  <c r="AO7" i="5" s="1"/>
  <c r="AN3" i="5"/>
  <c r="AN7" i="5" s="1"/>
  <c r="AJ21" i="5"/>
  <c r="AI21" i="5"/>
  <c r="AJ20" i="5"/>
  <c r="AI20" i="5"/>
  <c r="AJ19" i="5"/>
  <c r="AI19" i="5"/>
  <c r="AI22" i="5" s="1"/>
  <c r="AH19" i="5"/>
  <c r="AJ18" i="5"/>
  <c r="AJ22" i="5" s="1"/>
  <c r="AI18" i="5"/>
  <c r="AJ16" i="5"/>
  <c r="AI16" i="5"/>
  <c r="AJ15" i="5"/>
  <c r="AI15" i="5"/>
  <c r="AI17" i="5" s="1"/>
  <c r="AJ14" i="5"/>
  <c r="AJ17" i="5" s="1"/>
  <c r="AI14" i="5"/>
  <c r="AJ13" i="5"/>
  <c r="AI13" i="5"/>
  <c r="AJ11" i="5"/>
  <c r="AI11" i="5"/>
  <c r="AH11" i="5"/>
  <c r="AJ10" i="5"/>
  <c r="AJ12" i="5" s="1"/>
  <c r="AI10" i="5"/>
  <c r="AI12" i="5" s="1"/>
  <c r="AJ9" i="5"/>
  <c r="AI9" i="5"/>
  <c r="AJ8" i="5"/>
  <c r="AI8" i="5"/>
  <c r="AJ6" i="5"/>
  <c r="AJ7" i="5" s="1"/>
  <c r="AI6" i="5"/>
  <c r="AH6" i="5"/>
  <c r="AJ5" i="5"/>
  <c r="AI5" i="5"/>
  <c r="AJ4" i="5"/>
  <c r="AI4" i="5"/>
  <c r="AJ3" i="5"/>
  <c r="AI3" i="5"/>
  <c r="AI7" i="5" s="1"/>
  <c r="AE21" i="5"/>
  <c r="AE20" i="5"/>
  <c r="AE22" i="5" s="1"/>
  <c r="AE19" i="5"/>
  <c r="AE18" i="5"/>
  <c r="AE16" i="5"/>
  <c r="AE15" i="5"/>
  <c r="AE14" i="5"/>
  <c r="AE13" i="5"/>
  <c r="AE17" i="5" s="1"/>
  <c r="AE11" i="5"/>
  <c r="AE10" i="5"/>
  <c r="AE9" i="5"/>
  <c r="AE8" i="5"/>
  <c r="AE12" i="5" s="1"/>
  <c r="AE6" i="5"/>
  <c r="AE5" i="5"/>
  <c r="AE4" i="5"/>
  <c r="AE3" i="5"/>
  <c r="AD16" i="5"/>
  <c r="AD18" i="5"/>
  <c r="AD22" i="5" s="1"/>
  <c r="AD19" i="5"/>
  <c r="AD20" i="5"/>
  <c r="AD21" i="5"/>
  <c r="AD15" i="5"/>
  <c r="AD14" i="5"/>
  <c r="AD13" i="5"/>
  <c r="AD17" i="5" s="1"/>
  <c r="AD11" i="5"/>
  <c r="AD10" i="5"/>
  <c r="AD9" i="5"/>
  <c r="AC9" i="5"/>
  <c r="AD8" i="5"/>
  <c r="AD12" i="5" s="1"/>
  <c r="AD6" i="5"/>
  <c r="AD5" i="5"/>
  <c r="AD4" i="5"/>
  <c r="AD3" i="5"/>
  <c r="AD7" i="5" s="1"/>
  <c r="T4" i="5"/>
  <c r="T5" i="5"/>
  <c r="T6" i="5"/>
  <c r="T7" i="5"/>
  <c r="T8" i="5"/>
  <c r="T9" i="5"/>
  <c r="T10" i="5"/>
  <c r="T11" i="5"/>
  <c r="T12" i="5"/>
  <c r="T13" i="5"/>
  <c r="AR5" i="5" s="1"/>
  <c r="T14" i="5"/>
  <c r="T15" i="5"/>
  <c r="T16" i="5"/>
  <c r="T17" i="5"/>
  <c r="T18" i="5"/>
  <c r="T19" i="5"/>
  <c r="T20" i="5"/>
  <c r="AR6" i="5" s="1"/>
  <c r="T21" i="5"/>
  <c r="T22" i="5"/>
  <c r="T23" i="5"/>
  <c r="AR8" i="5" s="1"/>
  <c r="T24" i="5"/>
  <c r="T25" i="5"/>
  <c r="T26" i="5"/>
  <c r="T27" i="5"/>
  <c r="T28" i="5"/>
  <c r="T29" i="5"/>
  <c r="T30" i="5"/>
  <c r="T31" i="5"/>
  <c r="T32" i="5"/>
  <c r="T33" i="5"/>
  <c r="AR10" i="5" s="1"/>
  <c r="T34" i="5"/>
  <c r="T35" i="5"/>
  <c r="T36" i="5"/>
  <c r="T37" i="5"/>
  <c r="T38" i="5"/>
  <c r="AR11" i="5" s="1"/>
  <c r="T39" i="5"/>
  <c r="T40" i="5"/>
  <c r="T41" i="5"/>
  <c r="T42" i="5"/>
  <c r="T43" i="5"/>
  <c r="T44" i="5"/>
  <c r="AR14" i="5" s="1"/>
  <c r="T45" i="5"/>
  <c r="T46" i="5"/>
  <c r="T47" i="5"/>
  <c r="T48" i="5"/>
  <c r="T49" i="5"/>
  <c r="T50" i="5"/>
  <c r="T51" i="5"/>
  <c r="T52" i="5"/>
  <c r="T53" i="5"/>
  <c r="AR15" i="5" s="1"/>
  <c r="T54" i="5"/>
  <c r="T55" i="5"/>
  <c r="T56" i="5"/>
  <c r="T57" i="5"/>
  <c r="T58" i="5"/>
  <c r="T59" i="5"/>
  <c r="T60" i="5"/>
  <c r="T61" i="5"/>
  <c r="T62" i="5"/>
  <c r="AR16" i="5" s="1"/>
  <c r="T63" i="5"/>
  <c r="T64" i="5"/>
  <c r="AR18" i="5" s="1"/>
  <c r="AR22" i="5" s="1"/>
  <c r="T65" i="5"/>
  <c r="T66" i="5"/>
  <c r="T67" i="5"/>
  <c r="T68" i="5"/>
  <c r="T69" i="5"/>
  <c r="T70" i="5"/>
  <c r="T71" i="5"/>
  <c r="AR19" i="5" s="1"/>
  <c r="T72" i="5"/>
  <c r="T73" i="5"/>
  <c r="AR20" i="5" s="1"/>
  <c r="T74" i="5"/>
  <c r="T75" i="5"/>
  <c r="T76" i="5"/>
  <c r="T77" i="5"/>
  <c r="T78" i="5"/>
  <c r="T79" i="5"/>
  <c r="T80" i="5"/>
  <c r="T81" i="5"/>
  <c r="T82" i="5"/>
  <c r="T3" i="5"/>
  <c r="AR3" i="5" s="1"/>
  <c r="O4" i="5"/>
  <c r="O5" i="5"/>
  <c r="O6" i="5"/>
  <c r="O7" i="5"/>
  <c r="O8" i="5"/>
  <c r="O9" i="5"/>
  <c r="O10" i="5"/>
  <c r="O11" i="5"/>
  <c r="O12" i="5"/>
  <c r="O13" i="5"/>
  <c r="AM5" i="5" s="1"/>
  <c r="O14" i="5"/>
  <c r="O15" i="5"/>
  <c r="O16" i="5"/>
  <c r="O17" i="5"/>
  <c r="O18" i="5"/>
  <c r="AM6" i="5" s="1"/>
  <c r="O19" i="5"/>
  <c r="O20" i="5"/>
  <c r="O21" i="5"/>
  <c r="O22" i="5"/>
  <c r="O23" i="5"/>
  <c r="O24" i="5"/>
  <c r="AM8" i="5" s="1"/>
  <c r="AM12" i="5" s="1"/>
  <c r="O25" i="5"/>
  <c r="O26" i="5"/>
  <c r="O27" i="5"/>
  <c r="O28" i="5"/>
  <c r="O29" i="5"/>
  <c r="O30" i="5"/>
  <c r="O31" i="5"/>
  <c r="O32" i="5"/>
  <c r="AM9" i="5" s="1"/>
  <c r="O33" i="5"/>
  <c r="AM10" i="5" s="1"/>
  <c r="O34" i="5"/>
  <c r="O35" i="5"/>
  <c r="O36" i="5"/>
  <c r="O37" i="5"/>
  <c r="O38" i="5"/>
  <c r="O39" i="5"/>
  <c r="O40" i="5"/>
  <c r="O41" i="5"/>
  <c r="O42" i="5"/>
  <c r="O43" i="5"/>
  <c r="AM13" i="5" s="1"/>
  <c r="O44" i="5"/>
  <c r="AM14" i="5" s="1"/>
  <c r="O45" i="5"/>
  <c r="O46" i="5"/>
  <c r="O47" i="5"/>
  <c r="O48" i="5"/>
  <c r="O49" i="5"/>
  <c r="O50" i="5"/>
  <c r="O51" i="5"/>
  <c r="O52" i="5"/>
  <c r="O53" i="5"/>
  <c r="AM15" i="5" s="1"/>
  <c r="O54" i="5"/>
  <c r="O55" i="5"/>
  <c r="O56" i="5"/>
  <c r="O57" i="5"/>
  <c r="O58" i="5"/>
  <c r="O59" i="5"/>
  <c r="O60" i="5"/>
  <c r="O61" i="5"/>
  <c r="O62" i="5"/>
  <c r="O63" i="5"/>
  <c r="AM18" i="5" s="1"/>
  <c r="O64" i="5"/>
  <c r="O65" i="5"/>
  <c r="O66" i="5"/>
  <c r="O67" i="5"/>
  <c r="O68" i="5"/>
  <c r="AM19" i="5" s="1"/>
  <c r="O69" i="5"/>
  <c r="O70" i="5"/>
  <c r="O71" i="5"/>
  <c r="O72" i="5"/>
  <c r="O73" i="5"/>
  <c r="O74" i="5"/>
  <c r="AM20" i="5" s="1"/>
  <c r="O75" i="5"/>
  <c r="O76" i="5"/>
  <c r="O77" i="5"/>
  <c r="O78" i="5"/>
  <c r="O79" i="5"/>
  <c r="O80" i="5"/>
  <c r="O81" i="5"/>
  <c r="O82" i="5"/>
  <c r="AM21" i="5" s="1"/>
  <c r="O3" i="5"/>
  <c r="AM3" i="5" s="1"/>
  <c r="J4" i="5"/>
  <c r="J5" i="5"/>
  <c r="AH3" i="5" s="1"/>
  <c r="AH7" i="5" s="1"/>
  <c r="J6" i="5"/>
  <c r="J7" i="5"/>
  <c r="J8" i="5"/>
  <c r="J9" i="5"/>
  <c r="J10" i="5"/>
  <c r="J11" i="5"/>
  <c r="J12" i="5"/>
  <c r="AH4" i="5" s="1"/>
  <c r="J13" i="5"/>
  <c r="AH5" i="5" s="1"/>
  <c r="J14" i="5"/>
  <c r="J15" i="5"/>
  <c r="J16" i="5"/>
  <c r="J17" i="5"/>
  <c r="J18" i="5"/>
  <c r="J19" i="5"/>
  <c r="J20" i="5"/>
  <c r="J21" i="5"/>
  <c r="J22" i="5"/>
  <c r="J23" i="5"/>
  <c r="AH8" i="5" s="1"/>
  <c r="AH12" i="5" s="1"/>
  <c r="J24" i="5"/>
  <c r="J25" i="5"/>
  <c r="J26" i="5"/>
  <c r="J27" i="5"/>
  <c r="J28" i="5"/>
  <c r="J29" i="5"/>
  <c r="J30" i="5"/>
  <c r="AH9" i="5" s="1"/>
  <c r="J31" i="5"/>
  <c r="J32" i="5"/>
  <c r="J33" i="5"/>
  <c r="AH10" i="5" s="1"/>
  <c r="J34" i="5"/>
  <c r="J35" i="5"/>
  <c r="J36" i="5"/>
  <c r="J37" i="5"/>
  <c r="J38" i="5"/>
  <c r="J39" i="5"/>
  <c r="J40" i="5"/>
  <c r="J41" i="5"/>
  <c r="J42" i="5"/>
  <c r="J43" i="5"/>
  <c r="AH13" i="5" s="1"/>
  <c r="J44" i="5"/>
  <c r="AH14" i="5" s="1"/>
  <c r="J45" i="5"/>
  <c r="J46" i="5"/>
  <c r="J47" i="5"/>
  <c r="J48" i="5"/>
  <c r="J49" i="5"/>
  <c r="J50" i="5"/>
  <c r="J51" i="5"/>
  <c r="J52" i="5"/>
  <c r="J53" i="5"/>
  <c r="J54" i="5"/>
  <c r="J55" i="5"/>
  <c r="AH15" i="5" s="1"/>
  <c r="J56" i="5"/>
  <c r="J57" i="5"/>
  <c r="J58" i="5"/>
  <c r="J59" i="5"/>
  <c r="J60" i="5"/>
  <c r="J61" i="5"/>
  <c r="J62" i="5"/>
  <c r="AH16" i="5" s="1"/>
  <c r="J63" i="5"/>
  <c r="AH18" i="5" s="1"/>
  <c r="J64" i="5"/>
  <c r="J65" i="5"/>
  <c r="J66" i="5"/>
  <c r="J67" i="5"/>
  <c r="J68" i="5"/>
  <c r="J69" i="5"/>
  <c r="J70" i="5"/>
  <c r="J71" i="5"/>
  <c r="J72" i="5"/>
  <c r="J73" i="5"/>
  <c r="AH20" i="5" s="1"/>
  <c r="J74" i="5"/>
  <c r="J75" i="5"/>
  <c r="J76" i="5"/>
  <c r="J77" i="5"/>
  <c r="J78" i="5"/>
  <c r="J79" i="5"/>
  <c r="J80" i="5"/>
  <c r="AH21" i="5" s="1"/>
  <c r="J81" i="5"/>
  <c r="J82" i="5"/>
  <c r="J3" i="5"/>
  <c r="E4" i="5"/>
  <c r="E5" i="5"/>
  <c r="E6" i="5"/>
  <c r="E7" i="5"/>
  <c r="E8" i="5"/>
  <c r="E9" i="5"/>
  <c r="E10" i="5"/>
  <c r="E11" i="5"/>
  <c r="E12" i="5"/>
  <c r="AC4" i="5" s="1"/>
  <c r="E13" i="5"/>
  <c r="AC5" i="5" s="1"/>
  <c r="E14" i="5"/>
  <c r="E15" i="5"/>
  <c r="E16" i="5"/>
  <c r="E17" i="5"/>
  <c r="E18" i="5"/>
  <c r="AC6" i="5" s="1"/>
  <c r="E19" i="5"/>
  <c r="E20" i="5"/>
  <c r="E21" i="5"/>
  <c r="E22" i="5"/>
  <c r="E23" i="5"/>
  <c r="E24" i="5"/>
  <c r="E25" i="5"/>
  <c r="E26" i="5"/>
  <c r="AC8" i="5" s="1"/>
  <c r="AC12" i="5" s="1"/>
  <c r="E27" i="5"/>
  <c r="E28" i="5"/>
  <c r="E29" i="5"/>
  <c r="E30" i="5"/>
  <c r="E31" i="5"/>
  <c r="E32" i="5"/>
  <c r="E33" i="5"/>
  <c r="AC10" i="5" s="1"/>
  <c r="E34" i="5"/>
  <c r="E35" i="5"/>
  <c r="E36" i="5"/>
  <c r="E37" i="5"/>
  <c r="E38" i="5"/>
  <c r="E39" i="5"/>
  <c r="E40" i="5"/>
  <c r="AC11" i="5" s="1"/>
  <c r="E41" i="5"/>
  <c r="E42" i="5"/>
  <c r="E43" i="5"/>
  <c r="AC13" i="5" s="1"/>
  <c r="E44" i="5"/>
  <c r="E45" i="5"/>
  <c r="E46" i="5"/>
  <c r="AC14" i="5" s="1"/>
  <c r="E47" i="5"/>
  <c r="E48" i="5"/>
  <c r="E49" i="5"/>
  <c r="E50" i="5"/>
  <c r="E51" i="5"/>
  <c r="E52" i="5"/>
  <c r="E53" i="5"/>
  <c r="E54" i="5"/>
  <c r="AC15" i="5" s="1"/>
  <c r="E55" i="5"/>
  <c r="E56" i="5"/>
  <c r="E57" i="5"/>
  <c r="E58" i="5"/>
  <c r="E59" i="5"/>
  <c r="E60" i="5"/>
  <c r="E61" i="5"/>
  <c r="AC16" i="5" s="1"/>
  <c r="E62" i="5"/>
  <c r="E63" i="5"/>
  <c r="AC18" i="5" s="1"/>
  <c r="E64" i="5"/>
  <c r="E65" i="5"/>
  <c r="E66" i="5"/>
  <c r="E67" i="5"/>
  <c r="E68" i="5"/>
  <c r="AC19" i="5" s="1"/>
  <c r="E69" i="5"/>
  <c r="E70" i="5"/>
  <c r="E71" i="5"/>
  <c r="E72" i="5"/>
  <c r="E73" i="5"/>
  <c r="AC20" i="5" s="1"/>
  <c r="E74" i="5"/>
  <c r="E75" i="5"/>
  <c r="E76" i="5"/>
  <c r="E77" i="5"/>
  <c r="E78" i="5"/>
  <c r="E79" i="5"/>
  <c r="E80" i="5"/>
  <c r="E81" i="5"/>
  <c r="E82" i="5"/>
  <c r="AC21" i="5" s="1"/>
  <c r="E3" i="5"/>
  <c r="AC3" i="5" s="1"/>
  <c r="AL13" i="4"/>
  <c r="AL9" i="4"/>
  <c r="AL5" i="4"/>
  <c r="AH12" i="4"/>
  <c r="AV12" i="4" s="1"/>
  <c r="AH9" i="4"/>
  <c r="AH3" i="4"/>
  <c r="AV3" i="4" s="1"/>
  <c r="AD9" i="4"/>
  <c r="AU9" i="4" s="1"/>
  <c r="AD13" i="4"/>
  <c r="AU13" i="4" s="1"/>
  <c r="AD3" i="4"/>
  <c r="AL3" i="4"/>
  <c r="E53" i="4"/>
  <c r="E54" i="4"/>
  <c r="E55" i="4"/>
  <c r="E56" i="4"/>
  <c r="E57" i="4"/>
  <c r="T10" i="3"/>
  <c r="S10" i="3"/>
  <c r="P10" i="3"/>
  <c r="O10" i="3"/>
  <c r="AB14" i="4"/>
  <c r="AA14" i="4"/>
  <c r="AD12" i="4"/>
  <c r="AD11" i="4"/>
  <c r="E43" i="4"/>
  <c r="E44" i="4"/>
  <c r="E45" i="4"/>
  <c r="E46" i="4"/>
  <c r="E47" i="4"/>
  <c r="E48" i="4"/>
  <c r="E49" i="4"/>
  <c r="E50" i="4"/>
  <c r="E51" i="4"/>
  <c r="E52" i="4"/>
  <c r="AD10" i="4"/>
  <c r="AD8" i="4"/>
  <c r="AU8" i="4" s="1"/>
  <c r="AD7" i="4"/>
  <c r="AU7" i="4" s="1"/>
  <c r="AD6" i="4"/>
  <c r="AU6" i="4" s="1"/>
  <c r="AD5" i="4"/>
  <c r="AD4" i="4"/>
  <c r="AU4" i="4" s="1"/>
  <c r="E34" i="4"/>
  <c r="E35" i="4"/>
  <c r="E36" i="4"/>
  <c r="E37" i="4"/>
  <c r="E38" i="4"/>
  <c r="E39" i="4"/>
  <c r="E40" i="4"/>
  <c r="E41" i="4"/>
  <c r="E4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" i="4"/>
  <c r="I57" i="4"/>
  <c r="I55" i="4"/>
  <c r="I56" i="4"/>
  <c r="AR14" i="4"/>
  <c r="AQ14" i="4"/>
  <c r="AF14" i="4"/>
  <c r="AE14" i="4"/>
  <c r="AN14" i="4"/>
  <c r="AM14" i="4"/>
  <c r="AJ14" i="4"/>
  <c r="AI14" i="4"/>
  <c r="AT13" i="4"/>
  <c r="AH13" i="4"/>
  <c r="AP13" i="4"/>
  <c r="U53" i="4"/>
  <c r="U54" i="4"/>
  <c r="U55" i="4"/>
  <c r="U56" i="4"/>
  <c r="U57" i="4"/>
  <c r="I53" i="4"/>
  <c r="I54" i="4"/>
  <c r="Q53" i="4"/>
  <c r="Q54" i="4"/>
  <c r="Q55" i="4"/>
  <c r="Q56" i="4"/>
  <c r="Q57" i="4"/>
  <c r="M53" i="4"/>
  <c r="M54" i="4"/>
  <c r="M55" i="4"/>
  <c r="M56" i="4"/>
  <c r="M57" i="4"/>
  <c r="I48" i="4"/>
  <c r="I49" i="4"/>
  <c r="I50" i="4"/>
  <c r="I51" i="4"/>
  <c r="I52" i="4"/>
  <c r="AT12" i="4"/>
  <c r="AP12" i="4"/>
  <c r="AL12" i="4"/>
  <c r="U48" i="4"/>
  <c r="U49" i="4"/>
  <c r="U50" i="4"/>
  <c r="U51" i="4"/>
  <c r="U52" i="4"/>
  <c r="Q48" i="4"/>
  <c r="Q49" i="4"/>
  <c r="Q50" i="4"/>
  <c r="Q51" i="4"/>
  <c r="Q52" i="4"/>
  <c r="M48" i="4"/>
  <c r="M49" i="4"/>
  <c r="M50" i="4"/>
  <c r="M51" i="4"/>
  <c r="M52" i="4"/>
  <c r="U43" i="4"/>
  <c r="U44" i="4"/>
  <c r="U45" i="4"/>
  <c r="U46" i="4"/>
  <c r="U47" i="4"/>
  <c r="AT11" i="4"/>
  <c r="AH11" i="4"/>
  <c r="AV11" i="4" s="1"/>
  <c r="AP11" i="4"/>
  <c r="AL11" i="4"/>
  <c r="I42" i="4"/>
  <c r="I43" i="4"/>
  <c r="I44" i="4"/>
  <c r="I45" i="4"/>
  <c r="I46" i="4"/>
  <c r="I47" i="4"/>
  <c r="Q41" i="4"/>
  <c r="Q42" i="4"/>
  <c r="Q43" i="4"/>
  <c r="Q44" i="4"/>
  <c r="Q45" i="4"/>
  <c r="Q46" i="4"/>
  <c r="Q47" i="4"/>
  <c r="M42" i="4"/>
  <c r="M43" i="4"/>
  <c r="M44" i="4"/>
  <c r="M45" i="4"/>
  <c r="M46" i="4"/>
  <c r="M47" i="4"/>
  <c r="AH10" i="4"/>
  <c r="AV10" i="4" s="1"/>
  <c r="AT10" i="4"/>
  <c r="AP10" i="4"/>
  <c r="AL10" i="4"/>
  <c r="U37" i="4"/>
  <c r="U38" i="4"/>
  <c r="U39" i="4"/>
  <c r="U40" i="4"/>
  <c r="U41" i="4"/>
  <c r="U42" i="4"/>
  <c r="I37" i="4"/>
  <c r="I38" i="4"/>
  <c r="I39" i="4"/>
  <c r="I40" i="4"/>
  <c r="I41" i="4"/>
  <c r="Q37" i="4"/>
  <c r="Q38" i="4"/>
  <c r="Q39" i="4"/>
  <c r="Q40" i="4"/>
  <c r="M37" i="4"/>
  <c r="M38" i="4"/>
  <c r="M39" i="4"/>
  <c r="M40" i="4"/>
  <c r="M41" i="4"/>
  <c r="AT9" i="4"/>
  <c r="AV9" i="4" s="1"/>
  <c r="AT8" i="4"/>
  <c r="AT7" i="4"/>
  <c r="AT6" i="4"/>
  <c r="AT5" i="4"/>
  <c r="AU5" i="4" s="1"/>
  <c r="AT4" i="4"/>
  <c r="AT3" i="4"/>
  <c r="AH4" i="4"/>
  <c r="AH5" i="4"/>
  <c r="AV5" i="4" s="1"/>
  <c r="AH6" i="4"/>
  <c r="AV6" i="4" s="1"/>
  <c r="AH7" i="4"/>
  <c r="AV7" i="4" s="1"/>
  <c r="AH8" i="4"/>
  <c r="AV8" i="4" s="1"/>
  <c r="AP3" i="4"/>
  <c r="AP4" i="4"/>
  <c r="AP5" i="4"/>
  <c r="AP6" i="4"/>
  <c r="AP7" i="4"/>
  <c r="AP8" i="4"/>
  <c r="AP9" i="4"/>
  <c r="AL4" i="4"/>
  <c r="AL6" i="4"/>
  <c r="AL7" i="4"/>
  <c r="AL8" i="4"/>
  <c r="U34" i="4"/>
  <c r="U35" i="4"/>
  <c r="U36" i="4"/>
  <c r="U3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V9" i="3"/>
  <c r="R9" i="3"/>
  <c r="V8" i="3"/>
  <c r="R8" i="3"/>
  <c r="V7" i="3"/>
  <c r="U7" i="3"/>
  <c r="R7" i="3"/>
  <c r="Q7" i="3"/>
  <c r="V6" i="3"/>
  <c r="R6" i="3"/>
  <c r="V5" i="3"/>
  <c r="R5" i="3"/>
  <c r="Q5" i="3"/>
  <c r="E4" i="3"/>
  <c r="E5" i="3"/>
  <c r="E6" i="3"/>
  <c r="E7" i="3"/>
  <c r="E8" i="3"/>
  <c r="E9" i="3"/>
  <c r="E10" i="3"/>
  <c r="E11" i="3"/>
  <c r="E12" i="3"/>
  <c r="E13" i="3"/>
  <c r="Q6" i="3" s="1"/>
  <c r="E14" i="3"/>
  <c r="E15" i="3"/>
  <c r="E16" i="3"/>
  <c r="E17" i="3"/>
  <c r="E18" i="3"/>
  <c r="E19" i="3"/>
  <c r="E20" i="3"/>
  <c r="E21" i="3"/>
  <c r="E22" i="3"/>
  <c r="E23" i="3"/>
  <c r="Q8" i="3" s="1"/>
  <c r="E24" i="3"/>
  <c r="E25" i="3"/>
  <c r="E26" i="3"/>
  <c r="E27" i="3"/>
  <c r="E28" i="3"/>
  <c r="Q9" i="3" s="1"/>
  <c r="E29" i="3"/>
  <c r="E30" i="3"/>
  <c r="E31" i="3"/>
  <c r="E32" i="3"/>
  <c r="V4" i="3"/>
  <c r="R4" i="3"/>
  <c r="R10" i="3" s="1"/>
  <c r="E3" i="3"/>
  <c r="AC7" i="5" l="1"/>
  <c r="AC22" i="5"/>
  <c r="AH17" i="5"/>
  <c r="AM7" i="5"/>
  <c r="AM17" i="5"/>
  <c r="AR7" i="5"/>
  <c r="AR12" i="5"/>
  <c r="AC17" i="5"/>
  <c r="AH22" i="5"/>
  <c r="AM22" i="5"/>
  <c r="AS22" i="5"/>
  <c r="AR13" i="5"/>
  <c r="AR17" i="5" s="1"/>
  <c r="Q49" i="3"/>
  <c r="Q4" i="3"/>
  <c r="Q10" i="3" s="1"/>
  <c r="V10" i="3"/>
  <c r="U9" i="3"/>
  <c r="U4" i="3"/>
  <c r="U6" i="3"/>
  <c r="U8" i="3"/>
  <c r="AC11" i="4"/>
  <c r="AC13" i="4"/>
  <c r="AC3" i="4"/>
  <c r="AC6" i="4"/>
  <c r="AC10" i="4"/>
  <c r="AC9" i="4"/>
  <c r="AC12" i="4"/>
  <c r="AC5" i="4"/>
  <c r="AC8" i="4"/>
  <c r="AC4" i="4"/>
  <c r="AC7" i="4"/>
  <c r="AD14" i="4"/>
  <c r="AO13" i="4"/>
  <c r="AG13" i="4"/>
  <c r="AS5" i="4"/>
  <c r="AG10" i="4"/>
  <c r="AS4" i="4"/>
  <c r="AO4" i="4"/>
  <c r="AO7" i="4"/>
  <c r="AK10" i="4"/>
  <c r="AS10" i="4"/>
  <c r="AK13" i="4"/>
  <c r="AG7" i="4"/>
  <c r="AK12" i="4"/>
  <c r="AK3" i="4"/>
  <c r="AS6" i="4"/>
  <c r="AK6" i="4"/>
  <c r="AO3" i="4"/>
  <c r="AG5" i="4"/>
  <c r="AG4" i="4"/>
  <c r="AO6" i="4"/>
  <c r="AS11" i="4"/>
  <c r="AS7" i="4"/>
  <c r="AO10" i="4"/>
  <c r="AS9" i="4"/>
  <c r="AT14" i="4"/>
  <c r="AK8" i="4"/>
  <c r="AG3" i="4"/>
  <c r="AG8" i="4"/>
  <c r="AS8" i="4"/>
  <c r="AK4" i="4"/>
  <c r="AO8" i="4"/>
  <c r="AG6" i="4"/>
  <c r="AS12" i="4"/>
  <c r="AG9" i="4"/>
  <c r="AG11" i="4"/>
  <c r="AG12" i="4"/>
  <c r="AO9" i="4"/>
  <c r="AK5" i="4"/>
  <c r="AK11" i="4"/>
  <c r="AO5" i="4"/>
  <c r="AK7" i="4"/>
  <c r="AO12" i="4"/>
  <c r="AS13" i="4"/>
  <c r="AP14" i="4"/>
  <c r="AO11" i="4"/>
  <c r="AS3" i="4"/>
  <c r="AL14" i="4"/>
  <c r="AK9" i="4"/>
  <c r="AH14" i="4"/>
  <c r="AV14" i="4" s="1"/>
  <c r="U10" i="3" l="1"/>
  <c r="AU14" i="4"/>
  <c r="AC14" i="4"/>
  <c r="AS14" i="4"/>
  <c r="AG14" i="4"/>
  <c r="AO14" i="4"/>
  <c r="AK14" i="4"/>
</calcChain>
</file>

<file path=xl/sharedStrings.xml><?xml version="1.0" encoding="utf-8"?>
<sst xmlns="http://schemas.openxmlformats.org/spreadsheetml/2006/main" count="561" uniqueCount="101">
  <si>
    <t>Fsl</t>
  </si>
  <si>
    <t>Opt</t>
  </si>
  <si>
    <t>t[s]</t>
  </si>
  <si>
    <t>Instance</t>
    <phoneticPr fontId="1" type="noConversion"/>
  </si>
  <si>
    <t>(39,35,4)</t>
    <phoneticPr fontId="1" type="noConversion"/>
  </si>
  <si>
    <t>g[%]</t>
    <phoneticPr fontId="1" type="noConversion"/>
  </si>
  <si>
    <t>No</t>
    <phoneticPr fontId="1" type="noConversion"/>
  </si>
  <si>
    <t>Data1</t>
    <phoneticPr fontId="1" type="noConversion"/>
  </si>
  <si>
    <t>Data2</t>
  </si>
  <si>
    <t>Data3</t>
  </si>
  <si>
    <t>Data4</t>
  </si>
  <si>
    <t>Data5</t>
  </si>
  <si>
    <t>UB</t>
    <phoneticPr fontId="1" type="noConversion"/>
  </si>
  <si>
    <t>t[s]</t>
    <phoneticPr fontId="1" type="noConversion"/>
  </si>
  <si>
    <t>LB</t>
    <phoneticPr fontId="1" type="noConversion"/>
  </si>
  <si>
    <t>(23,15,4)</t>
  </si>
  <si>
    <t>(23,15,4)</t>
    <phoneticPr fontId="1" type="noConversion"/>
  </si>
  <si>
    <t>(23,20,4)</t>
  </si>
  <si>
    <t>(23,20,4)</t>
    <phoneticPr fontId="1" type="noConversion"/>
  </si>
  <si>
    <t>(31,15,4)</t>
  </si>
  <si>
    <t>(31,15,4)</t>
    <phoneticPr fontId="1" type="noConversion"/>
  </si>
  <si>
    <t>(31,20,4)</t>
  </si>
  <si>
    <t>(31,20,4)</t>
    <phoneticPr fontId="1" type="noConversion"/>
  </si>
  <si>
    <t>(31,25,4)</t>
  </si>
  <si>
    <t>(31,25,4)</t>
    <phoneticPr fontId="1" type="noConversion"/>
  </si>
  <si>
    <t>(31,30,4)</t>
  </si>
  <si>
    <t>(31,30,4)</t>
    <phoneticPr fontId="1" type="noConversion"/>
  </si>
  <si>
    <t>Nested-BAC</t>
    <phoneticPr fontId="1" type="noConversion"/>
  </si>
  <si>
    <t>Nested BAC</t>
    <phoneticPr fontId="1" type="noConversion"/>
  </si>
  <si>
    <t>No MC</t>
    <phoneticPr fontId="1" type="noConversion"/>
  </si>
  <si>
    <t>No Pareto</t>
    <phoneticPr fontId="1" type="noConversion"/>
  </si>
  <si>
    <t>No stabilization</t>
    <phoneticPr fontId="1" type="noConversion"/>
  </si>
  <si>
    <t>(39,15,4)</t>
  </si>
  <si>
    <t>(39,15,4)</t>
    <phoneticPr fontId="1" type="noConversion"/>
  </si>
  <si>
    <t>(39,20,4)</t>
  </si>
  <si>
    <t>(39,20,4)</t>
    <phoneticPr fontId="1" type="noConversion"/>
  </si>
  <si>
    <t>(39,25,4)</t>
  </si>
  <si>
    <t>(39,25,4)</t>
    <phoneticPr fontId="1" type="noConversion"/>
  </si>
  <si>
    <t>(39,30,4)</t>
  </si>
  <si>
    <t>(39,30,4)</t>
    <phoneticPr fontId="1" type="noConversion"/>
  </si>
  <si>
    <t>(39,35,4)</t>
  </si>
  <si>
    <t>Total</t>
    <phoneticPr fontId="1" type="noConversion"/>
  </si>
  <si>
    <t>No enhancements</t>
    <phoneticPr fontId="1" type="noConversion"/>
  </si>
  <si>
    <t>No Enhancements</t>
    <phoneticPr fontId="1" type="noConversion"/>
  </si>
  <si>
    <t>θ=0.5</t>
    <phoneticPr fontId="1" type="noConversion"/>
  </si>
  <si>
    <t>θ=1</t>
    <phoneticPr fontId="1" type="noConversion"/>
  </si>
  <si>
    <t>θ=1.5</t>
    <phoneticPr fontId="1" type="noConversion"/>
  </si>
  <si>
    <t>θ=2</t>
    <phoneticPr fontId="1" type="noConversion"/>
  </si>
  <si>
    <t>#opens</t>
    <phoneticPr fontId="1" type="noConversion"/>
  </si>
  <si>
    <t>(31,15,1)</t>
    <phoneticPr fontId="1" type="noConversion"/>
  </si>
  <si>
    <t>(31,20,1)</t>
    <phoneticPr fontId="1" type="noConversion"/>
  </si>
  <si>
    <t>(31,25,1)</t>
    <phoneticPr fontId="1" type="noConversion"/>
  </si>
  <si>
    <t>(31,30,1)</t>
    <phoneticPr fontId="1" type="noConversion"/>
  </si>
  <si>
    <t>(31,15,2)</t>
    <phoneticPr fontId="1" type="noConversion"/>
  </si>
  <si>
    <t>(31,20,2)</t>
    <phoneticPr fontId="1" type="noConversion"/>
  </si>
  <si>
    <t>(31,25,2)</t>
    <phoneticPr fontId="1" type="noConversion"/>
  </si>
  <si>
    <t>(31,30,2)</t>
    <phoneticPr fontId="1" type="noConversion"/>
  </si>
  <si>
    <t>(31,15,3)</t>
    <phoneticPr fontId="1" type="noConversion"/>
  </si>
  <si>
    <t>(31,20,3)</t>
    <phoneticPr fontId="1" type="noConversion"/>
  </si>
  <si>
    <t>(31,25,3)</t>
    <phoneticPr fontId="1" type="noConversion"/>
  </si>
  <si>
    <t>(31,30,3)</t>
    <phoneticPr fontId="1" type="noConversion"/>
  </si>
  <si>
    <t>Gamma</t>
    <phoneticPr fontId="1" type="noConversion"/>
  </si>
  <si>
    <t>(31,15)</t>
    <phoneticPr fontId="1" type="noConversion"/>
  </si>
  <si>
    <t>(31,20)</t>
    <phoneticPr fontId="1" type="noConversion"/>
  </si>
  <si>
    <t>(31,25)</t>
    <phoneticPr fontId="1" type="noConversion"/>
  </si>
  <si>
    <t>(31,30)</t>
    <phoneticPr fontId="1" type="noConversion"/>
  </si>
  <si>
    <t>Opt</t>
    <phoneticPr fontId="1" type="noConversion"/>
  </si>
  <si>
    <t>Obj</t>
    <phoneticPr fontId="1" type="noConversion"/>
  </si>
  <si>
    <t>Observation-out</t>
    <phoneticPr fontId="1" type="noConversion"/>
  </si>
  <si>
    <t>Mean</t>
    <phoneticPr fontId="1" type="noConversion"/>
  </si>
  <si>
    <t>STD</t>
    <phoneticPr fontId="1" type="noConversion"/>
  </si>
  <si>
    <t>VaR@95%</t>
  </si>
  <si>
    <t>CVaR@95%</t>
  </si>
  <si>
    <t>ε= 0.1</t>
    <phoneticPr fontId="1" type="noConversion"/>
  </si>
  <si>
    <t>ε= 0.2</t>
    <phoneticPr fontId="1" type="noConversion"/>
  </si>
  <si>
    <t>ε= 0.3</t>
    <phoneticPr fontId="1" type="noConversion"/>
  </si>
  <si>
    <t>VaR@95%</t>
    <phoneticPr fontId="1" type="noConversion"/>
  </si>
  <si>
    <t>Line-based</t>
    <phoneticPr fontId="1" type="noConversion"/>
  </si>
  <si>
    <t>(47,25,4)</t>
    <phoneticPr fontId="1" type="noConversion"/>
  </si>
  <si>
    <t>(47,30,4)</t>
    <phoneticPr fontId="1" type="noConversion"/>
  </si>
  <si>
    <t>(47,35,4)</t>
    <phoneticPr fontId="1" type="noConversion"/>
  </si>
  <si>
    <t>(47,40,4)</t>
    <phoneticPr fontId="1" type="noConversion"/>
  </si>
  <si>
    <t>(58,25,4)</t>
    <phoneticPr fontId="1" type="noConversion"/>
  </si>
  <si>
    <t>(58,30,4)</t>
    <phoneticPr fontId="1" type="noConversion"/>
  </si>
  <si>
    <t>(58,35,4)</t>
    <phoneticPr fontId="1" type="noConversion"/>
  </si>
  <si>
    <t>(58,40,4)</t>
    <phoneticPr fontId="1" type="noConversion"/>
  </si>
  <si>
    <t>(58,45,4)</t>
    <phoneticPr fontId="1" type="noConversion"/>
  </si>
  <si>
    <t>(58,50,4)</t>
    <phoneticPr fontId="1" type="noConversion"/>
  </si>
  <si>
    <t>Nominal</t>
    <phoneticPr fontId="1" type="noConversion"/>
  </si>
  <si>
    <t>Two-stage robust model</t>
    <phoneticPr fontId="1" type="noConversion"/>
  </si>
  <si>
    <t>g[%]</t>
  </si>
  <si>
    <t>ε= 0.05</t>
    <phoneticPr fontId="1" type="noConversion"/>
  </si>
  <si>
    <t>naive-BAC</t>
    <phoneticPr fontId="1" type="noConversion"/>
  </si>
  <si>
    <t>naive-CCG</t>
    <phoneticPr fontId="1" type="noConversion"/>
  </si>
  <si>
    <t>CCG</t>
    <phoneticPr fontId="1" type="noConversion"/>
  </si>
  <si>
    <t>Larger-sized instances</t>
    <phoneticPr fontId="1" type="noConversion"/>
  </si>
  <si>
    <t>infeasible</t>
  </si>
  <si>
    <t>Robust-path-based</t>
  </si>
  <si>
    <t>Arc-based</t>
    <phoneticPr fontId="1" type="noConversion"/>
  </si>
  <si>
    <t>Infeasible</t>
    <phoneticPr fontId="1" type="noConversion"/>
  </si>
  <si>
    <t>#open DC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</si>
</sst>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0.00_);[Red]\(0.00\)"/>
    <numFmt numFmtId="179" formatCode="0.0%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0" fillId="0" borderId="0" xfId="0" applyNumberFormat="1"/>
    <xf numFmtId="177" fontId="0" fillId="0" borderId="0" xfId="0" applyNumberFormat="1"/>
    <xf numFmtId="177" fontId="4" fillId="0" borderId="0" xfId="0" applyNumberFormat="1" applyFont="1"/>
    <xf numFmtId="176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77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176" fontId="0" fillId="2" borderId="0" xfId="0" applyNumberFormat="1" applyFill="1"/>
    <xf numFmtId="177" fontId="2" fillId="0" borderId="0" xfId="0" applyNumberFormat="1" applyFont="1" applyAlignment="1">
      <alignment vertical="center"/>
    </xf>
    <xf numFmtId="0" fontId="0" fillId="3" borderId="0" xfId="0" applyFill="1" applyAlignment="1">
      <alignment vertical="center"/>
    </xf>
    <xf numFmtId="179" fontId="0" fillId="3" borderId="0" xfId="0" applyNumberFormat="1" applyFill="1" applyAlignment="1">
      <alignment vertical="center"/>
    </xf>
    <xf numFmtId="177" fontId="0" fillId="3" borderId="0" xfId="0" applyNumberForma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2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176" fontId="2" fillId="4" borderId="0" xfId="0" applyNumberFormat="1" applyFont="1" applyFill="1" applyAlignment="1">
      <alignment vertical="center"/>
    </xf>
    <xf numFmtId="176" fontId="0" fillId="4" borderId="0" xfId="0" applyNumberFormat="1" applyFill="1" applyAlignment="1">
      <alignment vertical="center"/>
    </xf>
    <xf numFmtId="178" fontId="0" fillId="4" borderId="0" xfId="0" applyNumberForma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77" fontId="2" fillId="4" borderId="0" xfId="0" applyNumberFormat="1" applyFont="1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7" fontId="0" fillId="3" borderId="1" xfId="0" applyNumberFormat="1" applyFill="1" applyBorder="1" applyAlignment="1">
      <alignment vertical="center"/>
    </xf>
    <xf numFmtId="179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9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CCFD-4376-4E1C-9F3A-190C18DEBFDC}">
  <dimension ref="A1:AB72"/>
  <sheetViews>
    <sheetView topLeftCell="A23" zoomScale="130" zoomScaleNormal="130" workbookViewId="0">
      <selection activeCell="Q70" sqref="Q70"/>
    </sheetView>
  </sheetViews>
  <sheetFormatPr baseColWidth="10" defaultColWidth="8.83203125" defaultRowHeight="15"/>
  <sheetData>
    <row r="1" spans="1:22">
      <c r="A1" t="s">
        <v>3</v>
      </c>
      <c r="B1" t="s">
        <v>6</v>
      </c>
      <c r="C1" s="20" t="s">
        <v>94</v>
      </c>
      <c r="D1" s="20"/>
      <c r="E1" s="20"/>
      <c r="F1" s="20"/>
      <c r="G1" s="20" t="s">
        <v>28</v>
      </c>
      <c r="H1" s="20"/>
      <c r="I1" s="20"/>
      <c r="J1" s="20"/>
    </row>
    <row r="2" spans="1:22">
      <c r="C2" t="s">
        <v>12</v>
      </c>
      <c r="D2" t="s">
        <v>14</v>
      </c>
      <c r="E2" t="s">
        <v>5</v>
      </c>
      <c r="F2" t="s">
        <v>13</v>
      </c>
      <c r="G2" s="1" t="s">
        <v>12</v>
      </c>
      <c r="H2" t="s">
        <v>14</v>
      </c>
      <c r="I2" t="s">
        <v>5</v>
      </c>
      <c r="J2" t="s">
        <v>13</v>
      </c>
      <c r="O2" s="20" t="s">
        <v>94</v>
      </c>
      <c r="P2" s="20"/>
      <c r="Q2" s="20"/>
      <c r="R2" s="20"/>
      <c r="S2" s="20" t="s">
        <v>27</v>
      </c>
      <c r="T2" s="20"/>
      <c r="U2" s="20"/>
      <c r="V2" s="20"/>
    </row>
    <row r="3" spans="1:22">
      <c r="A3" s="29" t="s">
        <v>16</v>
      </c>
      <c r="B3" s="30" t="s">
        <v>7</v>
      </c>
      <c r="C3" s="35">
        <v>5806.96</v>
      </c>
      <c r="D3" s="35">
        <v>5806.96</v>
      </c>
      <c r="E3" s="36">
        <f>(C3-D3)/C3*100</f>
        <v>0</v>
      </c>
      <c r="F3" s="36">
        <v>57</v>
      </c>
      <c r="G3" s="33">
        <v>5806.96</v>
      </c>
      <c r="H3" s="33">
        <v>5806.96</v>
      </c>
      <c r="I3" s="32">
        <f>(G3-H3)/G3*100</f>
        <v>0</v>
      </c>
      <c r="J3" s="31">
        <v>20</v>
      </c>
      <c r="N3" t="s">
        <v>3</v>
      </c>
      <c r="O3" t="s">
        <v>0</v>
      </c>
      <c r="P3" t="s">
        <v>1</v>
      </c>
      <c r="Q3" t="s">
        <v>5</v>
      </c>
      <c r="R3" t="s">
        <v>2</v>
      </c>
      <c r="S3" t="s">
        <v>0</v>
      </c>
      <c r="T3" t="s">
        <v>1</v>
      </c>
      <c r="U3" t="s">
        <v>5</v>
      </c>
      <c r="V3" t="s">
        <v>2</v>
      </c>
    </row>
    <row r="4" spans="1:22">
      <c r="A4" s="29"/>
      <c r="B4" s="30" t="s">
        <v>8</v>
      </c>
      <c r="C4" s="31">
        <v>6509.67</v>
      </c>
      <c r="D4" s="31">
        <v>6509.67</v>
      </c>
      <c r="E4" s="36">
        <f t="shared" ref="E4:E32" si="0">(C4-D4)/C4*100</f>
        <v>0</v>
      </c>
      <c r="F4" s="31">
        <v>33</v>
      </c>
      <c r="G4" s="33">
        <v>6509.67</v>
      </c>
      <c r="H4" s="33">
        <v>6509.67</v>
      </c>
      <c r="I4" s="32">
        <f t="shared" ref="I4:I32" si="1">(G4-H4)/G4*100</f>
        <v>0</v>
      </c>
      <c r="J4" s="31">
        <v>19</v>
      </c>
      <c r="N4" t="s">
        <v>15</v>
      </c>
      <c r="O4">
        <v>5</v>
      </c>
      <c r="P4">
        <v>5</v>
      </c>
      <c r="Q4">
        <f>AVERAGE(E3:E7)</f>
        <v>0</v>
      </c>
      <c r="R4" s="5">
        <f>AVERAGE(F3:F7)</f>
        <v>67</v>
      </c>
      <c r="S4">
        <v>5</v>
      </c>
      <c r="T4">
        <v>5</v>
      </c>
      <c r="U4" s="5">
        <f>AVERAGE(I3:I7)</f>
        <v>1.7263716234539826E-3</v>
      </c>
      <c r="V4" s="5">
        <f>AVERAGE(J3:J7)</f>
        <v>15</v>
      </c>
    </row>
    <row r="5" spans="1:22">
      <c r="A5" s="29"/>
      <c r="B5" s="30" t="s">
        <v>9</v>
      </c>
      <c r="C5" s="31">
        <v>6442.99</v>
      </c>
      <c r="D5" s="31">
        <v>6442.99</v>
      </c>
      <c r="E5" s="36">
        <f t="shared" si="0"/>
        <v>0</v>
      </c>
      <c r="F5" s="31">
        <v>176</v>
      </c>
      <c r="G5" s="33">
        <v>6442.99</v>
      </c>
      <c r="H5" s="33">
        <v>6442.4338502446899</v>
      </c>
      <c r="I5" s="32">
        <f t="shared" si="1"/>
        <v>8.6318581172699135E-3</v>
      </c>
      <c r="J5" s="31">
        <v>21</v>
      </c>
      <c r="N5" t="s">
        <v>17</v>
      </c>
      <c r="O5">
        <v>5</v>
      </c>
      <c r="P5">
        <v>5</v>
      </c>
      <c r="Q5">
        <f>AVERAGE(E8:E12)</f>
        <v>0</v>
      </c>
      <c r="R5" s="5">
        <f>AVERAGE(F8:F12)</f>
        <v>539.79999999999995</v>
      </c>
      <c r="S5">
        <v>5</v>
      </c>
      <c r="T5">
        <v>5</v>
      </c>
      <c r="U5" s="5">
        <f>AVERAGE(I8:I12)</f>
        <v>8.699781399654067E-3</v>
      </c>
      <c r="V5" s="5">
        <f>AVERAGE(J8:J12)</f>
        <v>75.8</v>
      </c>
    </row>
    <row r="6" spans="1:22">
      <c r="A6" s="29"/>
      <c r="B6" s="30" t="s">
        <v>10</v>
      </c>
      <c r="C6" s="31">
        <v>5784.79</v>
      </c>
      <c r="D6" s="31">
        <v>5784.79</v>
      </c>
      <c r="E6" s="36">
        <f t="shared" si="0"/>
        <v>0</v>
      </c>
      <c r="F6" s="31">
        <v>5</v>
      </c>
      <c r="G6" s="33">
        <v>5784.79</v>
      </c>
      <c r="H6" s="33">
        <v>5784.79</v>
      </c>
      <c r="I6" s="32">
        <f t="shared" si="1"/>
        <v>0</v>
      </c>
      <c r="J6" s="31">
        <v>4</v>
      </c>
      <c r="N6" t="s">
        <v>19</v>
      </c>
      <c r="O6">
        <v>5</v>
      </c>
      <c r="P6">
        <v>5</v>
      </c>
      <c r="Q6">
        <f>AVERAGE(E13:E17)</f>
        <v>0</v>
      </c>
      <c r="R6" s="5">
        <f>AVERAGE(F13:F17)</f>
        <v>55.8</v>
      </c>
      <c r="S6">
        <v>5</v>
      </c>
      <c r="T6">
        <v>5</v>
      </c>
      <c r="U6" s="5">
        <f>AVERAGE(I13:I17)</f>
        <v>2.3259896619417159E-3</v>
      </c>
      <c r="V6" s="5">
        <f>AVERAGE(J13:J17)</f>
        <v>11</v>
      </c>
    </row>
    <row r="7" spans="1:22">
      <c r="A7" s="29"/>
      <c r="B7" s="30" t="s">
        <v>11</v>
      </c>
      <c r="C7" s="31">
        <v>6153.46</v>
      </c>
      <c r="D7" s="31">
        <v>6153.46</v>
      </c>
      <c r="E7" s="36">
        <f t="shared" si="0"/>
        <v>0</v>
      </c>
      <c r="F7" s="31">
        <v>64</v>
      </c>
      <c r="G7" s="33">
        <v>6153.46</v>
      </c>
      <c r="H7" s="33">
        <v>6153.46</v>
      </c>
      <c r="I7" s="32">
        <f t="shared" si="1"/>
        <v>0</v>
      </c>
      <c r="J7" s="31">
        <v>11</v>
      </c>
      <c r="N7" t="s">
        <v>21</v>
      </c>
      <c r="O7">
        <v>5</v>
      </c>
      <c r="P7">
        <v>5</v>
      </c>
      <c r="Q7">
        <f>AVERAGE(E18:E22)</f>
        <v>0</v>
      </c>
      <c r="R7" s="5">
        <f>AVERAGE(F18:F22)</f>
        <v>458.4</v>
      </c>
      <c r="S7">
        <v>5</v>
      </c>
      <c r="T7">
        <v>5</v>
      </c>
      <c r="U7" s="5">
        <f>AVERAGE(I18:I22)</f>
        <v>7.8195626716275057E-3</v>
      </c>
      <c r="V7" s="5">
        <f>AVERAGE(J18:J22)</f>
        <v>80</v>
      </c>
    </row>
    <row r="8" spans="1:22">
      <c r="A8" s="21" t="s">
        <v>18</v>
      </c>
      <c r="B8" t="s">
        <v>7</v>
      </c>
      <c r="C8" s="1">
        <v>5773.19</v>
      </c>
      <c r="D8" s="1">
        <v>5773.19</v>
      </c>
      <c r="E8" s="2">
        <f t="shared" si="0"/>
        <v>0</v>
      </c>
      <c r="F8" s="1">
        <v>468</v>
      </c>
      <c r="G8" s="7">
        <v>5773.19</v>
      </c>
      <c r="H8" s="7">
        <v>5772.62938438731</v>
      </c>
      <c r="I8" s="3">
        <f t="shared" si="1"/>
        <v>9.7106731753089145E-3</v>
      </c>
      <c r="J8" s="1">
        <v>86</v>
      </c>
      <c r="N8" t="s">
        <v>23</v>
      </c>
      <c r="O8">
        <v>5</v>
      </c>
      <c r="P8">
        <v>4</v>
      </c>
      <c r="Q8" s="5">
        <f>AVERAGE(E23:E27)</f>
        <v>1.05386927010877</v>
      </c>
      <c r="R8" s="5">
        <f>AVERAGE(F23:F27)</f>
        <v>1500.8</v>
      </c>
      <c r="S8">
        <v>5</v>
      </c>
      <c r="T8">
        <v>5</v>
      </c>
      <c r="U8" s="5">
        <f>AVERAGE(I23:I27)</f>
        <v>9.5843237858310223E-3</v>
      </c>
      <c r="V8" s="5">
        <f>AVERAGE(J23:J27)</f>
        <v>342</v>
      </c>
    </row>
    <row r="9" spans="1:22">
      <c r="A9" s="21"/>
      <c r="B9" t="s">
        <v>8</v>
      </c>
      <c r="C9" s="1">
        <v>5730.82</v>
      </c>
      <c r="D9" s="1">
        <v>5730.82</v>
      </c>
      <c r="E9" s="2">
        <f t="shared" si="0"/>
        <v>0</v>
      </c>
      <c r="F9" s="1">
        <v>161</v>
      </c>
      <c r="G9" s="7">
        <v>5730.82</v>
      </c>
      <c r="H9" s="7">
        <v>5730.2546128432105</v>
      </c>
      <c r="I9" s="3">
        <f t="shared" si="1"/>
        <v>9.865728757651725E-3</v>
      </c>
      <c r="J9" s="1">
        <v>47</v>
      </c>
      <c r="N9" t="s">
        <v>25</v>
      </c>
      <c r="O9">
        <v>5</v>
      </c>
      <c r="P9">
        <v>4</v>
      </c>
      <c r="Q9" s="5">
        <f>AVERAGE(E28:E32)</f>
        <v>0.24760281153918445</v>
      </c>
      <c r="R9" s="5">
        <f>AVERAGE(F28:F32)</f>
        <v>2617</v>
      </c>
      <c r="S9">
        <v>5</v>
      </c>
      <c r="T9">
        <v>5</v>
      </c>
      <c r="U9" s="5">
        <f>AVERAGE(I28:I32)</f>
        <v>9.7033517399998659E-3</v>
      </c>
      <c r="V9" s="5">
        <f>AVERAGE(J28:J32)</f>
        <v>569.20000000000005</v>
      </c>
    </row>
    <row r="10" spans="1:22">
      <c r="A10" s="21"/>
      <c r="B10" t="s">
        <v>9</v>
      </c>
      <c r="C10" s="1">
        <v>5853.58</v>
      </c>
      <c r="D10" s="1">
        <v>5853.58</v>
      </c>
      <c r="E10" s="2">
        <f t="shared" si="0"/>
        <v>0</v>
      </c>
      <c r="F10" s="1">
        <v>987</v>
      </c>
      <c r="G10" s="7">
        <v>5853.58</v>
      </c>
      <c r="H10" s="7">
        <v>5853.0787662657403</v>
      </c>
      <c r="I10" s="3">
        <f t="shared" si="1"/>
        <v>8.5628578452773448E-3</v>
      </c>
      <c r="J10" s="1">
        <v>98</v>
      </c>
      <c r="N10" t="s">
        <v>41</v>
      </c>
      <c r="O10">
        <f>SUM(O4:O9)</f>
        <v>30</v>
      </c>
      <c r="P10">
        <f>SUM(P4:P9)</f>
        <v>28</v>
      </c>
      <c r="Q10" s="5">
        <f>AVERAGE(Q4:Q9)</f>
        <v>0.21691201360799239</v>
      </c>
      <c r="R10" s="5">
        <f>AVERAGE(R4:R9)</f>
        <v>873.13333333333333</v>
      </c>
      <c r="S10">
        <f>SUM(S4:S9)</f>
        <v>30</v>
      </c>
      <c r="T10">
        <f>SUM(T4:T9)</f>
        <v>30</v>
      </c>
      <c r="U10" s="5">
        <f>AVERAGE(U4:U9)</f>
        <v>6.6432301470846925E-3</v>
      </c>
      <c r="V10" s="5">
        <f>AVERAGE(V4:V9)</f>
        <v>182.16666666666666</v>
      </c>
    </row>
    <row r="11" spans="1:22">
      <c r="A11" s="21"/>
      <c r="B11" t="s">
        <v>10</v>
      </c>
      <c r="C11" s="1">
        <v>5649.95</v>
      </c>
      <c r="D11" s="1">
        <v>5649.95</v>
      </c>
      <c r="E11" s="2">
        <f t="shared" si="0"/>
        <v>0</v>
      </c>
      <c r="F11" s="1">
        <v>784</v>
      </c>
      <c r="G11" s="7">
        <v>5649.95</v>
      </c>
      <c r="H11" s="7">
        <v>5649.5447140815304</v>
      </c>
      <c r="I11" s="3">
        <f t="shared" si="1"/>
        <v>7.1732655770301882E-3</v>
      </c>
      <c r="J11" s="1">
        <v>95</v>
      </c>
    </row>
    <row r="12" spans="1:22">
      <c r="A12" s="21"/>
      <c r="B12" t="s">
        <v>11</v>
      </c>
      <c r="C12" s="1">
        <v>5616.28</v>
      </c>
      <c r="D12" s="1">
        <v>5616.28</v>
      </c>
      <c r="E12" s="2">
        <f t="shared" si="0"/>
        <v>0</v>
      </c>
      <c r="F12" s="1">
        <v>299</v>
      </c>
      <c r="G12" s="7">
        <v>5616.28</v>
      </c>
      <c r="H12" s="7">
        <v>5615.8202298850601</v>
      </c>
      <c r="I12" s="3">
        <f t="shared" si="1"/>
        <v>8.186381643002158E-3</v>
      </c>
      <c r="J12" s="1">
        <v>53</v>
      </c>
    </row>
    <row r="13" spans="1:22">
      <c r="A13" s="29" t="s">
        <v>20</v>
      </c>
      <c r="B13" s="30" t="s">
        <v>7</v>
      </c>
      <c r="C13" s="31">
        <v>7711.79</v>
      </c>
      <c r="D13" s="31">
        <v>7711.79</v>
      </c>
      <c r="E13" s="36">
        <f t="shared" si="0"/>
        <v>0</v>
      </c>
      <c r="F13" s="31">
        <v>18</v>
      </c>
      <c r="G13" s="33">
        <v>7711.79</v>
      </c>
      <c r="H13" s="33">
        <v>7711.22230484386</v>
      </c>
      <c r="I13" s="32">
        <f t="shared" si="1"/>
        <v>7.3613928301984616E-3</v>
      </c>
      <c r="J13" s="31">
        <v>11</v>
      </c>
    </row>
    <row r="14" spans="1:22">
      <c r="A14" s="29"/>
      <c r="B14" s="30" t="s">
        <v>8</v>
      </c>
      <c r="C14" s="31">
        <v>7262.41</v>
      </c>
      <c r="D14" s="31">
        <v>7262.41</v>
      </c>
      <c r="E14" s="36">
        <f t="shared" si="0"/>
        <v>0</v>
      </c>
      <c r="F14" s="31">
        <v>20</v>
      </c>
      <c r="G14" s="33">
        <v>7262.41</v>
      </c>
      <c r="H14" s="33">
        <v>7262.1</v>
      </c>
      <c r="I14" s="32">
        <f t="shared" si="1"/>
        <v>4.2685554795101168E-3</v>
      </c>
      <c r="J14" s="31">
        <v>10</v>
      </c>
    </row>
    <row r="15" spans="1:22">
      <c r="A15" s="29"/>
      <c r="B15" s="30" t="s">
        <v>9</v>
      </c>
      <c r="C15" s="31">
        <v>8568.35</v>
      </c>
      <c r="D15" s="31">
        <v>8568.35</v>
      </c>
      <c r="E15" s="36">
        <f t="shared" si="0"/>
        <v>0</v>
      </c>
      <c r="F15" s="31">
        <v>143</v>
      </c>
      <c r="G15" s="33">
        <v>8568.35</v>
      </c>
      <c r="H15" s="33">
        <v>8568.35</v>
      </c>
      <c r="I15" s="32">
        <f t="shared" si="1"/>
        <v>0</v>
      </c>
      <c r="J15" s="31">
        <v>20</v>
      </c>
    </row>
    <row r="16" spans="1:22">
      <c r="A16" s="29"/>
      <c r="B16" s="30" t="s">
        <v>10</v>
      </c>
      <c r="C16" s="31">
        <v>7694.67</v>
      </c>
      <c r="D16" s="31">
        <v>7694.67</v>
      </c>
      <c r="E16" s="36">
        <f t="shared" si="0"/>
        <v>0</v>
      </c>
      <c r="F16" s="31">
        <v>8</v>
      </c>
      <c r="G16" s="33">
        <v>7694.67</v>
      </c>
      <c r="H16" s="33">
        <v>7694.67</v>
      </c>
      <c r="I16" s="32">
        <f t="shared" si="1"/>
        <v>0</v>
      </c>
      <c r="J16" s="31">
        <v>8</v>
      </c>
    </row>
    <row r="17" spans="1:10">
      <c r="A17" s="29"/>
      <c r="B17" s="30" t="s">
        <v>11</v>
      </c>
      <c r="C17" s="31">
        <v>7659.75</v>
      </c>
      <c r="D17" s="31">
        <v>7659.75</v>
      </c>
      <c r="E17" s="36">
        <f t="shared" si="0"/>
        <v>0</v>
      </c>
      <c r="F17" s="31">
        <v>90</v>
      </c>
      <c r="G17" s="33">
        <v>7659.75</v>
      </c>
      <c r="H17" s="33">
        <v>7659.75</v>
      </c>
      <c r="I17" s="32">
        <f t="shared" si="1"/>
        <v>0</v>
      </c>
      <c r="J17" s="31">
        <v>6</v>
      </c>
    </row>
    <row r="18" spans="1:10">
      <c r="A18" s="21" t="s">
        <v>22</v>
      </c>
      <c r="B18" t="s">
        <v>7</v>
      </c>
      <c r="C18" s="1">
        <v>7603.55</v>
      </c>
      <c r="D18" s="1">
        <v>7603.55</v>
      </c>
      <c r="E18" s="2">
        <f t="shared" si="0"/>
        <v>0</v>
      </c>
      <c r="F18" s="1">
        <v>489</v>
      </c>
      <c r="G18" s="7">
        <v>7603.55</v>
      </c>
      <c r="H18" s="7">
        <v>7603.07</v>
      </c>
      <c r="I18" s="3">
        <f t="shared" si="1"/>
        <v>6.3128407125681157E-3</v>
      </c>
      <c r="J18" s="1">
        <v>64</v>
      </c>
    </row>
    <row r="19" spans="1:10">
      <c r="A19" s="21"/>
      <c r="B19" t="s">
        <v>8</v>
      </c>
      <c r="C19" s="1">
        <v>6985.4</v>
      </c>
      <c r="D19" s="1">
        <v>6985.4</v>
      </c>
      <c r="E19" s="2">
        <f t="shared" si="0"/>
        <v>0</v>
      </c>
      <c r="F19" s="1">
        <v>479</v>
      </c>
      <c r="G19" s="7">
        <v>6985.4</v>
      </c>
      <c r="H19" s="7">
        <v>6984.9786139817597</v>
      </c>
      <c r="I19" s="3">
        <f t="shared" si="1"/>
        <v>6.0323820860637943E-3</v>
      </c>
      <c r="J19" s="1">
        <v>107</v>
      </c>
    </row>
    <row r="20" spans="1:10">
      <c r="A20" s="21"/>
      <c r="B20" t="s">
        <v>9</v>
      </c>
      <c r="C20" s="1">
        <v>7317.67</v>
      </c>
      <c r="D20" s="1">
        <v>7317.67</v>
      </c>
      <c r="E20" s="2">
        <f t="shared" si="0"/>
        <v>0</v>
      </c>
      <c r="F20" s="1">
        <v>166</v>
      </c>
      <c r="G20" s="7">
        <v>7317.67</v>
      </c>
      <c r="H20" s="7">
        <v>7317.02</v>
      </c>
      <c r="I20" s="3">
        <f t="shared" si="1"/>
        <v>8.8826088085365452E-3</v>
      </c>
      <c r="J20" s="1">
        <v>52</v>
      </c>
    </row>
    <row r="21" spans="1:10">
      <c r="A21" s="21"/>
      <c r="B21" t="s">
        <v>10</v>
      </c>
      <c r="C21" s="1">
        <v>7464.98</v>
      </c>
      <c r="D21" s="1">
        <v>7464.98</v>
      </c>
      <c r="E21" s="2">
        <f t="shared" si="0"/>
        <v>0</v>
      </c>
      <c r="F21" s="1">
        <v>490</v>
      </c>
      <c r="G21" s="7">
        <v>7464.98</v>
      </c>
      <c r="H21" s="7">
        <v>7464.29967096774</v>
      </c>
      <c r="I21" s="3">
        <f t="shared" si="1"/>
        <v>9.1136082381945913E-3</v>
      </c>
      <c r="J21" s="1">
        <v>69</v>
      </c>
    </row>
    <row r="22" spans="1:10">
      <c r="A22" s="21"/>
      <c r="B22" t="s">
        <v>11</v>
      </c>
      <c r="C22" s="1">
        <v>7579.2</v>
      </c>
      <c r="D22" s="1">
        <v>7579.2</v>
      </c>
      <c r="E22" s="2">
        <f t="shared" si="0"/>
        <v>0</v>
      </c>
      <c r="F22" s="1">
        <v>668</v>
      </c>
      <c r="G22" s="7">
        <v>7579.2</v>
      </c>
      <c r="H22" s="7">
        <v>7578.5363369387196</v>
      </c>
      <c r="I22" s="3">
        <f t="shared" si="1"/>
        <v>8.7563735127744839E-3</v>
      </c>
      <c r="J22" s="1">
        <v>108</v>
      </c>
    </row>
    <row r="23" spans="1:10">
      <c r="A23" s="29" t="s">
        <v>24</v>
      </c>
      <c r="B23" s="30" t="s">
        <v>7</v>
      </c>
      <c r="C23" s="31">
        <v>7272.55</v>
      </c>
      <c r="D23" s="31">
        <v>7272.55</v>
      </c>
      <c r="E23" s="36">
        <f t="shared" si="0"/>
        <v>0</v>
      </c>
      <c r="F23" s="31">
        <v>189</v>
      </c>
      <c r="G23" s="33">
        <v>7272.55</v>
      </c>
      <c r="H23" s="33">
        <v>7271.8569007469396</v>
      </c>
      <c r="I23" s="32">
        <f t="shared" si="1"/>
        <v>9.5303470317922735E-3</v>
      </c>
      <c r="J23" s="31">
        <v>337</v>
      </c>
    </row>
    <row r="24" spans="1:10">
      <c r="A24" s="29"/>
      <c r="B24" s="30" t="s">
        <v>8</v>
      </c>
      <c r="C24" s="31">
        <v>7261.26</v>
      </c>
      <c r="D24" s="31">
        <v>7261.26</v>
      </c>
      <c r="E24" s="36">
        <f t="shared" si="0"/>
        <v>0</v>
      </c>
      <c r="F24" s="31">
        <v>1266</v>
      </c>
      <c r="G24" s="33">
        <v>7261.26</v>
      </c>
      <c r="H24" s="33">
        <v>7260.5641126160299</v>
      </c>
      <c r="I24" s="32">
        <f t="shared" si="1"/>
        <v>9.5835624116245681E-3</v>
      </c>
      <c r="J24" s="31">
        <v>216</v>
      </c>
    </row>
    <row r="25" spans="1:10">
      <c r="A25" s="29"/>
      <c r="B25" s="30" t="s">
        <v>9</v>
      </c>
      <c r="C25" s="31">
        <v>7231.75</v>
      </c>
      <c r="D25" s="31">
        <v>7231.75</v>
      </c>
      <c r="E25" s="36">
        <f t="shared" si="0"/>
        <v>0</v>
      </c>
      <c r="F25" s="31">
        <v>251</v>
      </c>
      <c r="G25" s="33">
        <v>7231.75</v>
      </c>
      <c r="H25" s="33">
        <v>7231.0531114791402</v>
      </c>
      <c r="I25" s="32">
        <f t="shared" si="1"/>
        <v>9.6365128891323596E-3</v>
      </c>
      <c r="J25" s="31">
        <v>211</v>
      </c>
    </row>
    <row r="26" spans="1:10">
      <c r="A26" s="29"/>
      <c r="B26" s="30" t="s">
        <v>10</v>
      </c>
      <c r="C26" s="31">
        <v>8079.56</v>
      </c>
      <c r="D26" s="31">
        <v>7653.82</v>
      </c>
      <c r="E26" s="37">
        <f t="shared" si="0"/>
        <v>5.2693463505438496</v>
      </c>
      <c r="F26" s="31">
        <v>3600</v>
      </c>
      <c r="G26" s="33">
        <v>7769.13</v>
      </c>
      <c r="H26" s="33">
        <v>7768.3669684414099</v>
      </c>
      <c r="I26" s="32">
        <f t="shared" si="1"/>
        <v>9.8213256643952165E-3</v>
      </c>
      <c r="J26" s="31">
        <v>688</v>
      </c>
    </row>
    <row r="27" spans="1:10">
      <c r="A27" s="29"/>
      <c r="B27" s="30" t="s">
        <v>11</v>
      </c>
      <c r="C27" s="31">
        <v>6977.55</v>
      </c>
      <c r="D27" s="31">
        <v>6977.55</v>
      </c>
      <c r="E27" s="36">
        <f t="shared" si="0"/>
        <v>0</v>
      </c>
      <c r="F27" s="31">
        <v>2198</v>
      </c>
      <c r="G27" s="33">
        <v>6977.55</v>
      </c>
      <c r="H27" s="33">
        <v>6976.8976080807697</v>
      </c>
      <c r="I27" s="32">
        <f t="shared" si="1"/>
        <v>9.3498709322106972E-3</v>
      </c>
      <c r="J27" s="31">
        <v>258</v>
      </c>
    </row>
    <row r="28" spans="1:10">
      <c r="A28" s="21" t="s">
        <v>26</v>
      </c>
      <c r="B28" t="s">
        <v>7</v>
      </c>
      <c r="C28" s="1">
        <v>7105.45</v>
      </c>
      <c r="D28" s="1">
        <v>7105.45</v>
      </c>
      <c r="E28" s="2">
        <f t="shared" si="0"/>
        <v>0</v>
      </c>
      <c r="F28" s="1">
        <v>3600</v>
      </c>
      <c r="G28" s="7">
        <v>7105.45</v>
      </c>
      <c r="H28" s="7">
        <v>7104.7615657711003</v>
      </c>
      <c r="I28" s="3">
        <f t="shared" si="1"/>
        <v>9.6888195525898536E-3</v>
      </c>
      <c r="J28" s="1">
        <v>189</v>
      </c>
    </row>
    <row r="29" spans="1:10">
      <c r="A29" s="21"/>
      <c r="B29" t="s">
        <v>8</v>
      </c>
      <c r="C29" s="1">
        <v>7096.92</v>
      </c>
      <c r="D29" s="1">
        <v>7096.92</v>
      </c>
      <c r="E29" s="2">
        <f t="shared" si="0"/>
        <v>0</v>
      </c>
      <c r="F29" s="1">
        <v>2054</v>
      </c>
      <c r="G29" s="7">
        <v>7096.92</v>
      </c>
      <c r="H29" s="7">
        <v>7096.2131925449603</v>
      </c>
      <c r="I29" s="3">
        <f t="shared" si="1"/>
        <v>9.9593549742674221E-3</v>
      </c>
      <c r="J29" s="1">
        <v>515</v>
      </c>
    </row>
    <row r="30" spans="1:10">
      <c r="A30" s="21"/>
      <c r="B30" t="s">
        <v>9</v>
      </c>
      <c r="C30" s="1">
        <v>7344.02</v>
      </c>
      <c r="D30" s="1">
        <v>7253.1</v>
      </c>
      <c r="E30" s="16">
        <f t="shared" si="0"/>
        <v>1.2380140576959222</v>
      </c>
      <c r="F30" s="1">
        <v>3600</v>
      </c>
      <c r="G30" s="7">
        <v>7284.1</v>
      </c>
      <c r="H30" s="7">
        <v>7283.3753076825296</v>
      </c>
      <c r="I30" s="3">
        <f t="shared" si="1"/>
        <v>9.9489616764010143E-3</v>
      </c>
      <c r="J30" s="1">
        <v>623</v>
      </c>
    </row>
    <row r="31" spans="1:10">
      <c r="A31" s="21"/>
      <c r="B31" t="s">
        <v>10</v>
      </c>
      <c r="C31" s="1">
        <v>7041.08</v>
      </c>
      <c r="D31" s="1">
        <v>7041.08</v>
      </c>
      <c r="E31" s="2">
        <f t="shared" si="0"/>
        <v>0</v>
      </c>
      <c r="F31" s="1">
        <v>2909</v>
      </c>
      <c r="G31" s="7">
        <v>7041.08</v>
      </c>
      <c r="H31" s="7">
        <v>7040.4353043173796</v>
      </c>
      <c r="I31" s="3">
        <f t="shared" si="1"/>
        <v>9.1562044831232561E-3</v>
      </c>
      <c r="J31" s="1">
        <v>365</v>
      </c>
    </row>
    <row r="32" spans="1:10">
      <c r="A32" s="21"/>
      <c r="B32" t="s">
        <v>11</v>
      </c>
      <c r="C32" s="1">
        <v>6913.05</v>
      </c>
      <c r="D32" s="1">
        <v>6913.05</v>
      </c>
      <c r="E32" s="2">
        <f t="shared" si="0"/>
        <v>0</v>
      </c>
      <c r="F32" s="1">
        <v>922</v>
      </c>
      <c r="G32" s="7">
        <v>6913.05</v>
      </c>
      <c r="H32" s="7">
        <v>6912.3750500310098</v>
      </c>
      <c r="I32" s="3">
        <f t="shared" si="1"/>
        <v>9.7634180136177834E-3</v>
      </c>
      <c r="J32" s="1">
        <v>1154</v>
      </c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1:28">
      <c r="A41" t="s">
        <v>3</v>
      </c>
      <c r="B41" t="s">
        <v>6</v>
      </c>
      <c r="C41" s="20" t="s">
        <v>93</v>
      </c>
      <c r="D41" s="20"/>
      <c r="E41" s="20"/>
      <c r="F41" s="20"/>
      <c r="G41" s="20" t="s">
        <v>92</v>
      </c>
      <c r="H41" s="20"/>
      <c r="I41" s="20"/>
      <c r="J41" s="20"/>
      <c r="O41" s="20" t="s">
        <v>93</v>
      </c>
      <c r="P41" s="20"/>
      <c r="Q41" s="20"/>
      <c r="R41" s="20"/>
      <c r="S41" s="20" t="s">
        <v>92</v>
      </c>
      <c r="T41" s="20"/>
      <c r="U41" s="20"/>
      <c r="V41" s="20"/>
      <c r="Y41" s="20"/>
      <c r="Z41" s="20"/>
      <c r="AA41" s="20"/>
      <c r="AB41" s="20"/>
    </row>
    <row r="42" spans="1:28">
      <c r="C42" t="s">
        <v>12</v>
      </c>
      <c r="D42" t="s">
        <v>14</v>
      </c>
      <c r="E42" t="s">
        <v>5</v>
      </c>
      <c r="F42" t="s">
        <v>13</v>
      </c>
      <c r="G42" s="1" t="s">
        <v>12</v>
      </c>
      <c r="H42" t="s">
        <v>14</v>
      </c>
      <c r="I42" t="s">
        <v>5</v>
      </c>
      <c r="J42" t="s">
        <v>13</v>
      </c>
      <c r="N42" t="s">
        <v>3</v>
      </c>
      <c r="O42" t="s">
        <v>0</v>
      </c>
      <c r="P42" t="s">
        <v>1</v>
      </c>
      <c r="Q42" t="s">
        <v>5</v>
      </c>
      <c r="R42" t="s">
        <v>2</v>
      </c>
      <c r="S42" t="s">
        <v>0</v>
      </c>
      <c r="T42" t="s">
        <v>1</v>
      </c>
      <c r="U42" t="s">
        <v>90</v>
      </c>
      <c r="V42" t="s">
        <v>2</v>
      </c>
    </row>
    <row r="43" spans="1:28">
      <c r="A43" s="29" t="s">
        <v>16</v>
      </c>
      <c r="B43" s="30" t="s">
        <v>7</v>
      </c>
      <c r="C43" s="31">
        <v>5806.96</v>
      </c>
      <c r="D43" s="31">
        <v>5806.96</v>
      </c>
      <c r="E43" s="31">
        <f>(C43-D43)/C43*100</f>
        <v>0</v>
      </c>
      <c r="F43" s="31">
        <v>79</v>
      </c>
      <c r="G43" s="31">
        <v>5806.96</v>
      </c>
      <c r="H43" s="31">
        <v>5806.96</v>
      </c>
      <c r="I43" s="31">
        <f>(G43-H43)/G43*100</f>
        <v>0</v>
      </c>
      <c r="J43" s="31">
        <v>58</v>
      </c>
      <c r="N43" t="s">
        <v>15</v>
      </c>
      <c r="O43">
        <v>5</v>
      </c>
      <c r="P43">
        <v>5</v>
      </c>
      <c r="Q43">
        <f>AVERAGE(E43:E47)</f>
        <v>0</v>
      </c>
      <c r="R43">
        <f>AVERAGE(F43:F47)</f>
        <v>100.6</v>
      </c>
      <c r="S43">
        <v>5</v>
      </c>
      <c r="T43">
        <v>5</v>
      </c>
      <c r="U43" s="5">
        <v>1.7263716234539826E-3</v>
      </c>
      <c r="V43">
        <v>15</v>
      </c>
    </row>
    <row r="44" spans="1:28">
      <c r="A44" s="29"/>
      <c r="B44" s="30" t="s">
        <v>8</v>
      </c>
      <c r="C44" s="31">
        <v>6509.67</v>
      </c>
      <c r="D44" s="31">
        <v>6509.67</v>
      </c>
      <c r="E44" s="31">
        <f t="shared" ref="E44:E72" si="2">(C44-D44)/C44*100</f>
        <v>0</v>
      </c>
      <c r="F44" s="31">
        <v>89</v>
      </c>
      <c r="G44" s="31">
        <v>6509.67</v>
      </c>
      <c r="H44" s="31">
        <v>6509.67</v>
      </c>
      <c r="I44" s="31">
        <f t="shared" ref="I44:I72" si="3">(G44-H44)/G44*100</f>
        <v>0</v>
      </c>
      <c r="J44" s="31">
        <v>29</v>
      </c>
      <c r="N44" t="s">
        <v>17</v>
      </c>
      <c r="O44">
        <v>5</v>
      </c>
      <c r="P44">
        <v>5</v>
      </c>
      <c r="Q44">
        <f>AVERAGE(E48:E52)</f>
        <v>0</v>
      </c>
      <c r="R44">
        <f>AVERAGE(F48:F52)</f>
        <v>647.4</v>
      </c>
      <c r="S44">
        <v>5</v>
      </c>
      <c r="T44">
        <v>5</v>
      </c>
      <c r="U44" s="5">
        <v>8.699781399654067E-3</v>
      </c>
      <c r="V44">
        <v>75.8</v>
      </c>
    </row>
    <row r="45" spans="1:28">
      <c r="A45" s="29"/>
      <c r="B45" s="30" t="s">
        <v>9</v>
      </c>
      <c r="C45" s="31">
        <v>6442.99</v>
      </c>
      <c r="D45" s="31">
        <v>6442.99</v>
      </c>
      <c r="E45" s="31">
        <f t="shared" si="2"/>
        <v>0</v>
      </c>
      <c r="F45" s="31">
        <v>263</v>
      </c>
      <c r="G45" s="31">
        <v>6442.99</v>
      </c>
      <c r="H45" s="31">
        <v>6442.99</v>
      </c>
      <c r="I45" s="31">
        <f t="shared" si="3"/>
        <v>0</v>
      </c>
      <c r="J45" s="31">
        <v>164</v>
      </c>
      <c r="N45" t="s">
        <v>19</v>
      </c>
      <c r="O45">
        <v>5</v>
      </c>
      <c r="P45">
        <v>5</v>
      </c>
      <c r="Q45">
        <f>AVERAGE(E53:E57)</f>
        <v>0</v>
      </c>
      <c r="R45">
        <f>AVERAGE(F53:F57)</f>
        <v>66.8</v>
      </c>
      <c r="S45">
        <v>5</v>
      </c>
      <c r="T45">
        <v>5</v>
      </c>
      <c r="U45" s="5">
        <v>2.3259896619417159E-3</v>
      </c>
      <c r="V45">
        <v>11</v>
      </c>
    </row>
    <row r="46" spans="1:28">
      <c r="A46" s="29"/>
      <c r="B46" s="30" t="s">
        <v>10</v>
      </c>
      <c r="C46" s="31">
        <v>5784.79</v>
      </c>
      <c r="D46" s="31">
        <v>5784.79</v>
      </c>
      <c r="E46" s="31">
        <f t="shared" si="2"/>
        <v>0</v>
      </c>
      <c r="F46" s="31">
        <v>6</v>
      </c>
      <c r="G46" s="31">
        <v>5784.79</v>
      </c>
      <c r="H46" s="31">
        <v>5784.79</v>
      </c>
      <c r="I46" s="31">
        <f t="shared" si="3"/>
        <v>0</v>
      </c>
      <c r="J46" s="31">
        <v>4</v>
      </c>
      <c r="N46" t="s">
        <v>21</v>
      </c>
      <c r="O46">
        <v>5</v>
      </c>
      <c r="P46">
        <v>5</v>
      </c>
      <c r="Q46">
        <f>AVERAGE(E58:E62)</f>
        <v>0</v>
      </c>
      <c r="R46">
        <f>AVERAGE(F58:F62)</f>
        <v>668.6</v>
      </c>
      <c r="S46">
        <v>5</v>
      </c>
      <c r="T46">
        <v>5</v>
      </c>
      <c r="U46" s="5">
        <v>7.8195626716275057E-3</v>
      </c>
      <c r="V46">
        <v>80</v>
      </c>
    </row>
    <row r="47" spans="1:28">
      <c r="A47" s="29"/>
      <c r="B47" s="30" t="s">
        <v>11</v>
      </c>
      <c r="C47" s="31">
        <v>6153.46</v>
      </c>
      <c r="D47" s="31">
        <v>6153.46</v>
      </c>
      <c r="E47" s="31">
        <f t="shared" si="2"/>
        <v>0</v>
      </c>
      <c r="F47" s="31">
        <v>66</v>
      </c>
      <c r="G47" s="31">
        <v>6153.46</v>
      </c>
      <c r="H47" s="31">
        <v>6153.46</v>
      </c>
      <c r="I47" s="31">
        <f t="shared" si="3"/>
        <v>0</v>
      </c>
      <c r="J47" s="31">
        <v>51</v>
      </c>
      <c r="N47" t="s">
        <v>23</v>
      </c>
      <c r="O47">
        <v>5</v>
      </c>
      <c r="P47">
        <v>4</v>
      </c>
      <c r="Q47" s="5">
        <f>AVERAGE(E63:E67)</f>
        <v>0.2984427852960615</v>
      </c>
      <c r="R47">
        <f>AVERAGE(F63:F67)</f>
        <v>1316</v>
      </c>
      <c r="S47">
        <v>5</v>
      </c>
      <c r="T47">
        <v>5</v>
      </c>
      <c r="U47" s="5">
        <v>9.5843237858310223E-3</v>
      </c>
      <c r="V47">
        <v>342</v>
      </c>
      <c r="AA47" s="5"/>
    </row>
    <row r="48" spans="1:28">
      <c r="A48" s="21" t="s">
        <v>18</v>
      </c>
      <c r="B48" t="s">
        <v>7</v>
      </c>
      <c r="C48" s="1">
        <v>5773.19</v>
      </c>
      <c r="D48" s="1">
        <v>5773.19</v>
      </c>
      <c r="E48" s="1">
        <f t="shared" si="2"/>
        <v>0</v>
      </c>
      <c r="F48" s="1">
        <v>693</v>
      </c>
      <c r="G48" s="1">
        <v>5773.19</v>
      </c>
      <c r="H48" s="1">
        <v>5773.19</v>
      </c>
      <c r="I48" s="1">
        <f t="shared" si="3"/>
        <v>0</v>
      </c>
      <c r="J48" s="1">
        <v>372</v>
      </c>
      <c r="N48" t="s">
        <v>25</v>
      </c>
      <c r="O48">
        <v>5</v>
      </c>
      <c r="P48">
        <v>4</v>
      </c>
      <c r="Q48" s="5">
        <f>AVERAGE(E68:E72)</f>
        <v>6.290386517229811E-2</v>
      </c>
      <c r="R48">
        <f>AVERAGE(F68:F72)</f>
        <v>2118.1999999999998</v>
      </c>
      <c r="S48">
        <v>5</v>
      </c>
      <c r="T48">
        <v>5</v>
      </c>
      <c r="U48" s="5">
        <v>9.7033517399998659E-3</v>
      </c>
      <c r="V48">
        <v>569.20000000000005</v>
      </c>
      <c r="AA48" s="5"/>
    </row>
    <row r="49" spans="1:22">
      <c r="A49" s="21"/>
      <c r="B49" t="s">
        <v>8</v>
      </c>
      <c r="C49" s="1">
        <v>5730.82</v>
      </c>
      <c r="D49" s="1">
        <v>5730.82</v>
      </c>
      <c r="E49" s="1">
        <f t="shared" si="2"/>
        <v>0</v>
      </c>
      <c r="F49" s="1">
        <v>298</v>
      </c>
      <c r="G49" s="1">
        <v>5730.82</v>
      </c>
      <c r="H49" s="1">
        <v>5730.82</v>
      </c>
      <c r="I49" s="1">
        <f t="shared" si="3"/>
        <v>0</v>
      </c>
      <c r="J49" s="1">
        <v>120</v>
      </c>
      <c r="N49" t="s">
        <v>41</v>
      </c>
      <c r="O49">
        <f>SUM(O43:O48)</f>
        <v>30</v>
      </c>
      <c r="P49">
        <f t="shared" ref="P49:U49" si="4">SUM(P43:P48)</f>
        <v>28</v>
      </c>
      <c r="Q49" s="5">
        <f>AVERAGE(Q43:Q48)</f>
        <v>6.0224441744726603E-2</v>
      </c>
      <c r="R49">
        <f>AVERAGE(R43:R48)</f>
        <v>819.6</v>
      </c>
      <c r="S49">
        <f t="shared" si="4"/>
        <v>30</v>
      </c>
      <c r="T49">
        <f t="shared" si="4"/>
        <v>30</v>
      </c>
      <c r="U49" s="5">
        <f t="shared" si="4"/>
        <v>3.9859380882508157E-2</v>
      </c>
      <c r="V49" s="5">
        <f>AVERAGE(V43:V48)</f>
        <v>182.16666666666666</v>
      </c>
    </row>
    <row r="50" spans="1:22">
      <c r="A50" s="21"/>
      <c r="B50" t="s">
        <v>9</v>
      </c>
      <c r="C50" s="1">
        <v>5853.58</v>
      </c>
      <c r="D50" s="1">
        <v>5853.58</v>
      </c>
      <c r="E50" s="1">
        <f t="shared" si="2"/>
        <v>0</v>
      </c>
      <c r="F50" s="1">
        <v>1251</v>
      </c>
      <c r="G50" s="1">
        <v>5853.58</v>
      </c>
      <c r="H50" s="1">
        <v>5853.58</v>
      </c>
      <c r="I50" s="1">
        <f t="shared" si="3"/>
        <v>0</v>
      </c>
      <c r="J50" s="1">
        <v>865</v>
      </c>
    </row>
    <row r="51" spans="1:22">
      <c r="A51" s="21"/>
      <c r="B51" t="s">
        <v>10</v>
      </c>
      <c r="C51" s="1">
        <v>5649.95</v>
      </c>
      <c r="D51" s="1">
        <v>5649.95</v>
      </c>
      <c r="E51" s="1">
        <f t="shared" si="2"/>
        <v>0</v>
      </c>
      <c r="F51" s="1">
        <v>577</v>
      </c>
      <c r="G51" s="1">
        <v>5649.95</v>
      </c>
      <c r="H51" s="1">
        <v>5649.95</v>
      </c>
      <c r="I51" s="1">
        <f t="shared" si="3"/>
        <v>0</v>
      </c>
      <c r="J51" s="1">
        <v>634</v>
      </c>
    </row>
    <row r="52" spans="1:22">
      <c r="A52" s="21"/>
      <c r="B52" t="s">
        <v>11</v>
      </c>
      <c r="C52" s="1">
        <v>5616.28</v>
      </c>
      <c r="D52" s="1">
        <v>5616.28</v>
      </c>
      <c r="E52" s="1">
        <f t="shared" si="2"/>
        <v>0</v>
      </c>
      <c r="F52" s="1">
        <v>418</v>
      </c>
      <c r="G52" s="1">
        <v>5616.28</v>
      </c>
      <c r="H52" s="1">
        <v>5616.28</v>
      </c>
      <c r="I52" s="1">
        <f t="shared" si="3"/>
        <v>0</v>
      </c>
      <c r="J52" s="1">
        <v>231</v>
      </c>
    </row>
    <row r="53" spans="1:22">
      <c r="A53" s="29" t="s">
        <v>20</v>
      </c>
      <c r="B53" s="30" t="s">
        <v>7</v>
      </c>
      <c r="C53" s="31">
        <v>7711.79</v>
      </c>
      <c r="D53" s="31">
        <v>7711.79</v>
      </c>
      <c r="E53" s="31">
        <f t="shared" si="2"/>
        <v>0</v>
      </c>
      <c r="F53" s="31">
        <v>30</v>
      </c>
      <c r="G53" s="31">
        <v>7711.79</v>
      </c>
      <c r="H53" s="31">
        <v>7711.79</v>
      </c>
      <c r="I53" s="31">
        <f t="shared" si="3"/>
        <v>0</v>
      </c>
      <c r="J53" s="31">
        <v>17</v>
      </c>
    </row>
    <row r="54" spans="1:22">
      <c r="A54" s="29"/>
      <c r="B54" s="30" t="s">
        <v>8</v>
      </c>
      <c r="C54" s="31">
        <v>7262.41</v>
      </c>
      <c r="D54" s="31">
        <v>7262.41</v>
      </c>
      <c r="E54" s="31">
        <f t="shared" si="2"/>
        <v>0</v>
      </c>
      <c r="F54" s="31">
        <v>15</v>
      </c>
      <c r="G54" s="31">
        <v>7262.41</v>
      </c>
      <c r="H54" s="31">
        <v>7262.41</v>
      </c>
      <c r="I54" s="31">
        <f t="shared" si="3"/>
        <v>0</v>
      </c>
      <c r="J54" s="31">
        <v>18</v>
      </c>
    </row>
    <row r="55" spans="1:22">
      <c r="A55" s="29"/>
      <c r="B55" s="30" t="s">
        <v>9</v>
      </c>
      <c r="C55" s="31">
        <v>8568.35</v>
      </c>
      <c r="D55" s="31">
        <v>8568.35</v>
      </c>
      <c r="E55" s="31">
        <f t="shared" si="2"/>
        <v>0</v>
      </c>
      <c r="F55" s="31">
        <v>208</v>
      </c>
      <c r="G55" s="31">
        <v>8568.35</v>
      </c>
      <c r="H55" s="31">
        <v>8568.35</v>
      </c>
      <c r="I55" s="31">
        <f t="shared" si="3"/>
        <v>0</v>
      </c>
      <c r="J55" s="31">
        <v>139</v>
      </c>
    </row>
    <row r="56" spans="1:22">
      <c r="A56" s="29"/>
      <c r="B56" s="30" t="s">
        <v>10</v>
      </c>
      <c r="C56" s="31">
        <v>7694.67</v>
      </c>
      <c r="D56" s="31">
        <v>7694.67</v>
      </c>
      <c r="E56" s="31">
        <f t="shared" si="2"/>
        <v>0</v>
      </c>
      <c r="F56" s="31">
        <v>6</v>
      </c>
      <c r="G56" s="31">
        <v>7694.67</v>
      </c>
      <c r="H56" s="31">
        <v>7694.67</v>
      </c>
      <c r="I56" s="31">
        <f t="shared" si="3"/>
        <v>0</v>
      </c>
      <c r="J56" s="31">
        <v>7</v>
      </c>
    </row>
    <row r="57" spans="1:22">
      <c r="A57" s="29"/>
      <c r="B57" s="30" t="s">
        <v>11</v>
      </c>
      <c r="C57" s="31">
        <v>7659.75</v>
      </c>
      <c r="D57" s="31">
        <v>7659.75</v>
      </c>
      <c r="E57" s="31">
        <f t="shared" si="2"/>
        <v>0</v>
      </c>
      <c r="F57" s="31">
        <v>75</v>
      </c>
      <c r="G57" s="31">
        <v>7659.75</v>
      </c>
      <c r="H57" s="31">
        <v>7659.75</v>
      </c>
      <c r="I57" s="31">
        <f t="shared" si="3"/>
        <v>0</v>
      </c>
      <c r="J57" s="31">
        <v>81</v>
      </c>
    </row>
    <row r="58" spans="1:22">
      <c r="A58" s="21" t="s">
        <v>22</v>
      </c>
      <c r="B58" t="s">
        <v>7</v>
      </c>
      <c r="C58" s="1">
        <v>7603.55</v>
      </c>
      <c r="D58" s="1">
        <v>7603.55</v>
      </c>
      <c r="E58" s="1">
        <f t="shared" si="2"/>
        <v>0</v>
      </c>
      <c r="F58" s="1">
        <v>795</v>
      </c>
      <c r="G58" s="1">
        <v>7603.55</v>
      </c>
      <c r="H58" s="1">
        <v>7603.55</v>
      </c>
      <c r="I58" s="1">
        <f t="shared" si="3"/>
        <v>0</v>
      </c>
      <c r="J58" s="1">
        <v>516</v>
      </c>
    </row>
    <row r="59" spans="1:22">
      <c r="A59" s="21"/>
      <c r="B59" t="s">
        <v>8</v>
      </c>
      <c r="C59" s="1">
        <v>6985.4</v>
      </c>
      <c r="D59" s="1">
        <v>6985.4</v>
      </c>
      <c r="E59" s="1">
        <f t="shared" si="2"/>
        <v>0</v>
      </c>
      <c r="F59" s="1">
        <v>483</v>
      </c>
      <c r="G59" s="1">
        <v>6985.4</v>
      </c>
      <c r="H59" s="1">
        <v>6985.4</v>
      </c>
      <c r="I59" s="1">
        <f t="shared" si="3"/>
        <v>0</v>
      </c>
      <c r="J59" s="1">
        <v>379</v>
      </c>
    </row>
    <row r="60" spans="1:22">
      <c r="A60" s="21"/>
      <c r="B60" t="s">
        <v>9</v>
      </c>
      <c r="C60" s="1">
        <v>7317.67</v>
      </c>
      <c r="D60" s="1">
        <v>7317.67</v>
      </c>
      <c r="E60" s="1">
        <f t="shared" si="2"/>
        <v>0</v>
      </c>
      <c r="F60" s="1">
        <v>47</v>
      </c>
      <c r="G60" s="1">
        <v>7317.67</v>
      </c>
      <c r="H60" s="1">
        <v>7317.67</v>
      </c>
      <c r="I60" s="1">
        <f t="shared" si="3"/>
        <v>0</v>
      </c>
      <c r="J60" s="1">
        <v>128</v>
      </c>
    </row>
    <row r="61" spans="1:22">
      <c r="A61" s="21"/>
      <c r="B61" t="s">
        <v>10</v>
      </c>
      <c r="C61" s="1">
        <v>7464.98</v>
      </c>
      <c r="D61" s="1">
        <v>7464.98</v>
      </c>
      <c r="E61" s="1">
        <f t="shared" si="2"/>
        <v>0</v>
      </c>
      <c r="F61" s="1">
        <v>1256</v>
      </c>
      <c r="G61" s="1">
        <v>7464.98</v>
      </c>
      <c r="H61" s="1">
        <v>7464.98</v>
      </c>
      <c r="I61" s="1">
        <f t="shared" si="3"/>
        <v>0</v>
      </c>
      <c r="J61" s="1">
        <v>384</v>
      </c>
    </row>
    <row r="62" spans="1:22">
      <c r="A62" s="21"/>
      <c r="B62" t="s">
        <v>11</v>
      </c>
      <c r="C62" s="1">
        <v>7579.2</v>
      </c>
      <c r="D62" s="1">
        <v>7579.2</v>
      </c>
      <c r="E62" s="1">
        <f t="shared" si="2"/>
        <v>0</v>
      </c>
      <c r="F62" s="1">
        <v>762</v>
      </c>
      <c r="G62" s="1">
        <v>7579.2</v>
      </c>
      <c r="H62" s="1">
        <v>7579.2</v>
      </c>
      <c r="I62" s="1">
        <f t="shared" si="3"/>
        <v>0</v>
      </c>
      <c r="J62" s="1">
        <v>510</v>
      </c>
    </row>
    <row r="63" spans="1:22">
      <c r="A63" s="29" t="s">
        <v>24</v>
      </c>
      <c r="B63" s="30" t="s">
        <v>7</v>
      </c>
      <c r="C63" s="31">
        <v>7272.55</v>
      </c>
      <c r="D63" s="31">
        <v>7272.55</v>
      </c>
      <c r="E63" s="31">
        <f t="shared" si="2"/>
        <v>0</v>
      </c>
      <c r="F63" s="31">
        <v>124</v>
      </c>
      <c r="G63" s="31">
        <v>7272.55</v>
      </c>
      <c r="H63" s="31">
        <v>7272.55</v>
      </c>
      <c r="I63" s="31">
        <f t="shared" si="3"/>
        <v>0</v>
      </c>
      <c r="J63" s="31">
        <v>147</v>
      </c>
    </row>
    <row r="64" spans="1:22">
      <c r="A64" s="29"/>
      <c r="B64" s="30" t="s">
        <v>8</v>
      </c>
      <c r="C64" s="31">
        <v>7261.26</v>
      </c>
      <c r="D64" s="31">
        <v>7261.26</v>
      </c>
      <c r="E64" s="31">
        <f t="shared" si="2"/>
        <v>0</v>
      </c>
      <c r="F64" s="31">
        <v>1418</v>
      </c>
      <c r="G64" s="31">
        <v>7261.26</v>
      </c>
      <c r="H64" s="31">
        <v>7261.26</v>
      </c>
      <c r="I64" s="31">
        <f t="shared" si="3"/>
        <v>0</v>
      </c>
      <c r="J64" s="31">
        <v>1078</v>
      </c>
    </row>
    <row r="65" spans="1:10">
      <c r="A65" s="29"/>
      <c r="B65" s="30" t="s">
        <v>9</v>
      </c>
      <c r="C65" s="31">
        <v>7231.75</v>
      </c>
      <c r="D65" s="31">
        <v>7231.75</v>
      </c>
      <c r="E65" s="31">
        <f t="shared" si="2"/>
        <v>0</v>
      </c>
      <c r="F65" s="31">
        <v>243</v>
      </c>
      <c r="G65" s="31">
        <v>7231.75</v>
      </c>
      <c r="H65" s="31">
        <v>7231.75</v>
      </c>
      <c r="I65" s="31">
        <f t="shared" si="3"/>
        <v>0</v>
      </c>
      <c r="J65" s="31">
        <v>194</v>
      </c>
    </row>
    <row r="66" spans="1:10">
      <c r="A66" s="29"/>
      <c r="B66" s="30" t="s">
        <v>10</v>
      </c>
      <c r="C66" s="31">
        <v>7846.06</v>
      </c>
      <c r="D66" s="31">
        <v>7728.98</v>
      </c>
      <c r="E66" s="31">
        <f t="shared" si="2"/>
        <v>1.4922139264803076</v>
      </c>
      <c r="F66" s="31">
        <v>3600</v>
      </c>
      <c r="G66" s="31">
        <v>8079.56</v>
      </c>
      <c r="H66" s="31">
        <v>7661.72</v>
      </c>
      <c r="I66" s="31">
        <f t="shared" si="3"/>
        <v>5.171568748793252</v>
      </c>
      <c r="J66" s="31">
        <v>3600</v>
      </c>
    </row>
    <row r="67" spans="1:10">
      <c r="A67" s="29"/>
      <c r="B67" s="30" t="s">
        <v>11</v>
      </c>
      <c r="C67" s="31">
        <v>6977.55</v>
      </c>
      <c r="D67" s="31">
        <v>6977.55</v>
      </c>
      <c r="E67" s="31">
        <f t="shared" si="2"/>
        <v>0</v>
      </c>
      <c r="F67" s="31">
        <v>1195</v>
      </c>
      <c r="G67" s="31">
        <v>6977.55</v>
      </c>
      <c r="H67" s="31">
        <v>6977.55</v>
      </c>
      <c r="I67" s="31">
        <f t="shared" si="3"/>
        <v>0</v>
      </c>
      <c r="J67" s="31">
        <v>1811</v>
      </c>
    </row>
    <row r="68" spans="1:10">
      <c r="A68" s="21" t="s">
        <v>26</v>
      </c>
      <c r="B68" t="s">
        <v>7</v>
      </c>
      <c r="C68" s="1">
        <v>7105.45</v>
      </c>
      <c r="D68" s="1">
        <v>7105.45</v>
      </c>
      <c r="E68" s="1">
        <f t="shared" si="2"/>
        <v>0</v>
      </c>
      <c r="F68" s="1">
        <v>2150</v>
      </c>
      <c r="G68" s="1">
        <v>7105.45</v>
      </c>
      <c r="H68" s="1">
        <v>7105.45</v>
      </c>
      <c r="I68" s="1">
        <f t="shared" si="3"/>
        <v>0</v>
      </c>
      <c r="J68" s="1">
        <v>2824</v>
      </c>
    </row>
    <row r="69" spans="1:10">
      <c r="A69" s="21"/>
      <c r="B69" t="s">
        <v>8</v>
      </c>
      <c r="C69" s="1">
        <v>7096.92</v>
      </c>
      <c r="D69" s="1">
        <v>7096.92</v>
      </c>
      <c r="E69" s="1">
        <f t="shared" si="2"/>
        <v>0</v>
      </c>
      <c r="F69" s="1">
        <v>1938</v>
      </c>
      <c r="G69" s="1">
        <v>7096.92</v>
      </c>
      <c r="H69" s="1">
        <v>7096.92</v>
      </c>
      <c r="I69" s="1">
        <f t="shared" si="3"/>
        <v>0</v>
      </c>
      <c r="J69" s="1">
        <v>1462</v>
      </c>
    </row>
    <row r="70" spans="1:10">
      <c r="A70" s="21"/>
      <c r="B70" t="s">
        <v>9</v>
      </c>
      <c r="C70" s="1">
        <v>7290.49</v>
      </c>
      <c r="D70" s="1">
        <v>7267.56</v>
      </c>
      <c r="E70" s="1">
        <f t="shared" si="2"/>
        <v>0.31451932586149056</v>
      </c>
      <c r="F70" s="1">
        <v>3600</v>
      </c>
      <c r="G70" s="1">
        <v>7344.02</v>
      </c>
      <c r="H70" s="1">
        <v>7228.19</v>
      </c>
      <c r="I70" s="1">
        <f t="shared" si="3"/>
        <v>1.5772015871416585</v>
      </c>
      <c r="J70" s="1">
        <v>3600</v>
      </c>
    </row>
    <row r="71" spans="1:10">
      <c r="A71" s="21"/>
      <c r="B71" t="s">
        <v>10</v>
      </c>
      <c r="C71" s="1">
        <v>7041.08</v>
      </c>
      <c r="D71" s="1">
        <v>7041.08</v>
      </c>
      <c r="E71" s="1">
        <f t="shared" si="2"/>
        <v>0</v>
      </c>
      <c r="F71" s="1">
        <v>1832</v>
      </c>
      <c r="G71" s="1">
        <v>7041.08</v>
      </c>
      <c r="H71" s="1">
        <v>7041.08</v>
      </c>
      <c r="I71" s="1">
        <f t="shared" si="3"/>
        <v>0</v>
      </c>
      <c r="J71" s="1">
        <v>2278</v>
      </c>
    </row>
    <row r="72" spans="1:10">
      <c r="A72" s="21"/>
      <c r="B72" t="s">
        <v>11</v>
      </c>
      <c r="C72" s="1">
        <v>6913.05</v>
      </c>
      <c r="D72" s="1">
        <v>6913.05</v>
      </c>
      <c r="E72" s="1">
        <f t="shared" si="2"/>
        <v>0</v>
      </c>
      <c r="F72" s="1">
        <v>1071</v>
      </c>
      <c r="G72" s="1">
        <v>6913.05</v>
      </c>
      <c r="H72" s="1">
        <v>6913.05</v>
      </c>
      <c r="I72" s="1">
        <f t="shared" si="3"/>
        <v>0</v>
      </c>
      <c r="J72" s="1">
        <v>595</v>
      </c>
    </row>
  </sheetData>
  <mergeCells count="22">
    <mergeCell ref="A23:A27"/>
    <mergeCell ref="A28:A32"/>
    <mergeCell ref="C1:F1"/>
    <mergeCell ref="G1:J1"/>
    <mergeCell ref="S2:V2"/>
    <mergeCell ref="A3:A7"/>
    <mergeCell ref="A8:A12"/>
    <mergeCell ref="A13:A17"/>
    <mergeCell ref="A18:A22"/>
    <mergeCell ref="O2:R2"/>
    <mergeCell ref="Y41:AB41"/>
    <mergeCell ref="C41:F41"/>
    <mergeCell ref="G41:J41"/>
    <mergeCell ref="A43:A47"/>
    <mergeCell ref="A48:A52"/>
    <mergeCell ref="S41:V41"/>
    <mergeCell ref="A40:V40"/>
    <mergeCell ref="A58:A62"/>
    <mergeCell ref="A63:A67"/>
    <mergeCell ref="A68:A72"/>
    <mergeCell ref="O41:R41"/>
    <mergeCell ref="A53:A5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1F8F-61CE-4BC0-924D-7FD1D31A0ABE}">
  <dimension ref="A1:AV111"/>
  <sheetViews>
    <sheetView topLeftCell="A30" zoomScale="115" zoomScaleNormal="115" workbookViewId="0">
      <selection activeCell="L61" sqref="L61"/>
    </sheetView>
  </sheetViews>
  <sheetFormatPr baseColWidth="10" defaultColWidth="8.83203125" defaultRowHeight="15"/>
  <cols>
    <col min="11" max="12" width="9.33203125" bestFit="1" customWidth="1"/>
    <col min="15" max="16" width="9.33203125" bestFit="1" customWidth="1"/>
    <col min="19" max="20" width="9.33203125" bestFit="1" customWidth="1"/>
  </cols>
  <sheetData>
    <row r="1" spans="1:48">
      <c r="A1" t="s">
        <v>3</v>
      </c>
      <c r="B1" t="s">
        <v>6</v>
      </c>
      <c r="C1" s="20" t="s">
        <v>42</v>
      </c>
      <c r="D1" s="20"/>
      <c r="E1" s="20"/>
      <c r="F1" s="20"/>
      <c r="G1" s="20" t="s">
        <v>31</v>
      </c>
      <c r="H1" s="20"/>
      <c r="I1" s="20"/>
      <c r="J1" s="20"/>
      <c r="K1" s="20" t="s">
        <v>29</v>
      </c>
      <c r="L1" s="20"/>
      <c r="M1" s="20"/>
      <c r="N1" s="20"/>
      <c r="O1" s="20" t="s">
        <v>30</v>
      </c>
      <c r="P1" s="20"/>
      <c r="Q1" s="20"/>
      <c r="R1" s="20"/>
      <c r="S1" s="20" t="s">
        <v>28</v>
      </c>
      <c r="T1" s="20"/>
      <c r="U1" s="20"/>
      <c r="V1" s="20"/>
      <c r="AA1" s="20" t="s">
        <v>43</v>
      </c>
      <c r="AB1" s="20"/>
      <c r="AC1" s="20"/>
      <c r="AD1" s="20"/>
      <c r="AE1" s="20" t="s">
        <v>31</v>
      </c>
      <c r="AF1" s="20"/>
      <c r="AG1" s="20"/>
      <c r="AH1" s="20"/>
      <c r="AI1" s="20" t="s">
        <v>29</v>
      </c>
      <c r="AJ1" s="20"/>
      <c r="AK1" s="20"/>
      <c r="AL1" s="20"/>
      <c r="AM1" s="20" t="s">
        <v>30</v>
      </c>
      <c r="AN1" s="20"/>
      <c r="AO1" s="20"/>
      <c r="AP1" s="20"/>
      <c r="AQ1" s="20" t="s">
        <v>28</v>
      </c>
      <c r="AR1" s="20"/>
      <c r="AS1" s="20"/>
      <c r="AT1" s="20"/>
    </row>
    <row r="2" spans="1:48">
      <c r="C2" t="s">
        <v>12</v>
      </c>
      <c r="D2" t="s">
        <v>14</v>
      </c>
      <c r="E2" t="s">
        <v>5</v>
      </c>
      <c r="F2" t="s">
        <v>13</v>
      </c>
      <c r="G2" s="1" t="s">
        <v>12</v>
      </c>
      <c r="H2" t="s">
        <v>14</v>
      </c>
      <c r="I2" t="s">
        <v>5</v>
      </c>
      <c r="J2" t="s">
        <v>13</v>
      </c>
      <c r="K2" t="s">
        <v>12</v>
      </c>
      <c r="L2" t="s">
        <v>14</v>
      </c>
      <c r="M2" t="s">
        <v>5</v>
      </c>
      <c r="N2" t="s">
        <v>13</v>
      </c>
      <c r="O2" s="1" t="s">
        <v>12</v>
      </c>
      <c r="P2" t="s">
        <v>14</v>
      </c>
      <c r="Q2" t="s">
        <v>5</v>
      </c>
      <c r="R2" t="s">
        <v>13</v>
      </c>
      <c r="S2" s="1" t="s">
        <v>12</v>
      </c>
      <c r="T2" t="s">
        <v>14</v>
      </c>
      <c r="U2" t="s">
        <v>5</v>
      </c>
      <c r="V2" t="s">
        <v>13</v>
      </c>
      <c r="Z2" t="s">
        <v>3</v>
      </c>
      <c r="AA2" t="s">
        <v>0</v>
      </c>
      <c r="AB2" t="s">
        <v>1</v>
      </c>
      <c r="AC2" t="s">
        <v>5</v>
      </c>
      <c r="AD2" t="s">
        <v>2</v>
      </c>
      <c r="AE2" t="s">
        <v>0</v>
      </c>
      <c r="AF2" t="s">
        <v>1</v>
      </c>
      <c r="AG2" t="s">
        <v>5</v>
      </c>
      <c r="AH2" t="s">
        <v>2</v>
      </c>
      <c r="AI2" t="s">
        <v>0</v>
      </c>
      <c r="AJ2" t="s">
        <v>1</v>
      </c>
      <c r="AK2" t="s">
        <v>5</v>
      </c>
      <c r="AL2" t="s">
        <v>2</v>
      </c>
      <c r="AM2" t="s">
        <v>0</v>
      </c>
      <c r="AN2" t="s">
        <v>1</v>
      </c>
      <c r="AO2" t="s">
        <v>5</v>
      </c>
      <c r="AP2" t="s">
        <v>2</v>
      </c>
      <c r="AQ2" t="s">
        <v>0</v>
      </c>
      <c r="AR2" t="s">
        <v>1</v>
      </c>
      <c r="AS2" t="s">
        <v>5</v>
      </c>
      <c r="AT2" t="s">
        <v>2</v>
      </c>
    </row>
    <row r="3" spans="1:48">
      <c r="A3" s="29" t="s">
        <v>16</v>
      </c>
      <c r="B3" s="30" t="s">
        <v>7</v>
      </c>
      <c r="C3" s="31">
        <v>5806.96</v>
      </c>
      <c r="D3" s="31">
        <v>5806.96</v>
      </c>
      <c r="E3" s="32">
        <f>(C3-D3)/C3*100</f>
        <v>0</v>
      </c>
      <c r="F3" s="31">
        <v>20</v>
      </c>
      <c r="G3" s="33">
        <v>5806.96</v>
      </c>
      <c r="H3" s="33">
        <v>5806.6187777268997</v>
      </c>
      <c r="I3" s="32">
        <f>(G3-H3)/G3*100</f>
        <v>5.8760913300652442E-3</v>
      </c>
      <c r="J3" s="31">
        <v>19</v>
      </c>
      <c r="K3" s="33">
        <v>5806.96</v>
      </c>
      <c r="L3" s="33">
        <v>5806.5281272522498</v>
      </c>
      <c r="M3" s="32">
        <f>(K3-L3)/K3*100</f>
        <v>7.4371572690405336E-3</v>
      </c>
      <c r="N3" s="31">
        <v>18</v>
      </c>
      <c r="O3" s="33">
        <v>5806.96</v>
      </c>
      <c r="P3" s="33">
        <v>5806.96</v>
      </c>
      <c r="Q3" s="32">
        <f>(O3-P3)/O3*100</f>
        <v>0</v>
      </c>
      <c r="R3" s="31">
        <v>13</v>
      </c>
      <c r="S3" s="33">
        <v>5806.96</v>
      </c>
      <c r="T3" s="33">
        <v>5806.96</v>
      </c>
      <c r="U3" s="32">
        <f>(S3-T3)/S3*100</f>
        <v>0</v>
      </c>
      <c r="V3" s="31">
        <v>8</v>
      </c>
      <c r="Z3" t="s">
        <v>15</v>
      </c>
      <c r="AA3">
        <v>5</v>
      </c>
      <c r="AB3">
        <v>5</v>
      </c>
      <c r="AC3" s="5">
        <f>AVERAGE(E3:E7)</f>
        <v>1.7263716234539826E-3</v>
      </c>
      <c r="AD3" s="5">
        <f>AVERAGE(F3:F7)</f>
        <v>15</v>
      </c>
      <c r="AE3">
        <v>5</v>
      </c>
      <c r="AF3">
        <v>5</v>
      </c>
      <c r="AG3" s="5">
        <f>AVERAGE(I3:I7)</f>
        <v>1.1752182660130488E-3</v>
      </c>
      <c r="AH3" s="5">
        <f>AVERAGE(J3:J7)</f>
        <v>14.2</v>
      </c>
      <c r="AI3">
        <v>5</v>
      </c>
      <c r="AJ3">
        <v>5</v>
      </c>
      <c r="AK3" s="5">
        <f>AVERAGE(M3:M7)</f>
        <v>1.5066935080144338E-3</v>
      </c>
      <c r="AL3" s="5">
        <f>AVERAGE(N3:N7)</f>
        <v>13.8</v>
      </c>
      <c r="AM3">
        <v>5</v>
      </c>
      <c r="AN3">
        <v>5</v>
      </c>
      <c r="AO3" s="5">
        <f>AVERAGE(Q3:Q7)</f>
        <v>1.3956599927495519E-3</v>
      </c>
      <c r="AP3" s="5">
        <f>AVERAGE(R3:R7)</f>
        <v>10.6</v>
      </c>
      <c r="AQ3">
        <v>5</v>
      </c>
      <c r="AR3">
        <v>5</v>
      </c>
      <c r="AS3" s="5">
        <f>AVERAGE(U3:U7)</f>
        <v>4.1318866997980638E-4</v>
      </c>
      <c r="AT3" s="6">
        <f>AVERAGE(V3:V7)</f>
        <v>8.1999999999999993</v>
      </c>
      <c r="AU3">
        <f>(AD3-AT3)/AT3*100</f>
        <v>82.926829268292707</v>
      </c>
      <c r="AV3">
        <f>(AH3-AT3)/AT3</f>
        <v>0.73170731707317083</v>
      </c>
    </row>
    <row r="4" spans="1:48">
      <c r="A4" s="29"/>
      <c r="B4" s="30" t="s">
        <v>8</v>
      </c>
      <c r="C4" s="31">
        <v>6509.67</v>
      </c>
      <c r="D4" s="31">
        <v>6509.67</v>
      </c>
      <c r="E4" s="32">
        <f t="shared" ref="E4:E57" si="0">(C4-D4)/C4*100</f>
        <v>0</v>
      </c>
      <c r="F4" s="31">
        <v>19</v>
      </c>
      <c r="G4" s="33">
        <v>6509.67</v>
      </c>
      <c r="H4" s="33">
        <v>6509.67</v>
      </c>
      <c r="I4" s="32">
        <f t="shared" ref="I4:I57" si="1">(G4-H4)/G4*100</f>
        <v>0</v>
      </c>
      <c r="J4" s="31">
        <v>18</v>
      </c>
      <c r="K4" s="33">
        <v>6509.67</v>
      </c>
      <c r="L4" s="33">
        <v>6509.6637305191798</v>
      </c>
      <c r="M4" s="32">
        <f t="shared" ref="M4:M57" si="2">(K4-L4)/K4*100</f>
        <v>9.6310271031634735E-5</v>
      </c>
      <c r="N4" s="31">
        <v>14</v>
      </c>
      <c r="O4" s="33">
        <v>6509.67</v>
      </c>
      <c r="P4" s="33">
        <v>6509.21573570075</v>
      </c>
      <c r="Q4" s="32">
        <f t="shared" ref="Q4:Q57" si="3">(O4-P4)/O4*100</f>
        <v>6.978299963747759E-3</v>
      </c>
      <c r="R4" s="31">
        <v>11</v>
      </c>
      <c r="S4" s="33">
        <v>6509.67</v>
      </c>
      <c r="T4" s="33">
        <v>6509.67</v>
      </c>
      <c r="U4" s="32">
        <f t="shared" ref="U4:U32" si="4">(S4-T4)/S4*100</f>
        <v>0</v>
      </c>
      <c r="V4" s="31">
        <v>10</v>
      </c>
      <c r="Z4" t="s">
        <v>17</v>
      </c>
      <c r="AA4">
        <v>5</v>
      </c>
      <c r="AB4">
        <v>5</v>
      </c>
      <c r="AC4" s="5">
        <f>AVERAGE(E8:E12)</f>
        <v>8.699781399654067E-3</v>
      </c>
      <c r="AD4" s="5">
        <f>AVERAGE(F8:F12)</f>
        <v>75.8</v>
      </c>
      <c r="AE4">
        <v>5</v>
      </c>
      <c r="AF4">
        <v>5</v>
      </c>
      <c r="AG4" s="5">
        <f>AVERAGE(I8:I12)</f>
        <v>9.0035578256463574E-3</v>
      </c>
      <c r="AH4" s="5">
        <f>AVERAGE(J8:J12)</f>
        <v>58.4</v>
      </c>
      <c r="AI4">
        <v>5</v>
      </c>
      <c r="AJ4">
        <v>5</v>
      </c>
      <c r="AK4" s="5">
        <f>AVERAGE(M8:M12)</f>
        <v>7.5557234705781601E-3</v>
      </c>
      <c r="AL4" s="5">
        <f>AVERAGE(N8:N12)</f>
        <v>59.4</v>
      </c>
      <c r="AM4">
        <v>5</v>
      </c>
      <c r="AN4">
        <v>5</v>
      </c>
      <c r="AO4" s="5">
        <f>AVERAGE(Q8:Q12)</f>
        <v>7.3094211383545561E-3</v>
      </c>
      <c r="AP4" s="5">
        <f>AVERAGE(R8:R12)</f>
        <v>56.6</v>
      </c>
      <c r="AQ4">
        <v>5</v>
      </c>
      <c r="AR4">
        <v>5</v>
      </c>
      <c r="AS4" s="5">
        <f>AVERAGE(U8:U12)</f>
        <v>8.7222340677689074E-3</v>
      </c>
      <c r="AT4" s="6">
        <f>AVERAGE(V8:V12)</f>
        <v>43.4</v>
      </c>
      <c r="AU4">
        <f t="shared" ref="AU4:AU14" si="5">(AD4-AT4)/AT4*100</f>
        <v>74.654377880184327</v>
      </c>
      <c r="AV4">
        <f t="shared" ref="AV4:AV14" si="6">(AH4-AT4)/AT4</f>
        <v>0.34562211981566821</v>
      </c>
    </row>
    <row r="5" spans="1:48">
      <c r="A5" s="29"/>
      <c r="B5" s="30" t="s">
        <v>9</v>
      </c>
      <c r="C5" s="31">
        <v>6442.99</v>
      </c>
      <c r="D5" s="31">
        <v>6442.4338502446899</v>
      </c>
      <c r="E5" s="32">
        <f t="shared" si="0"/>
        <v>8.6318581172699135E-3</v>
      </c>
      <c r="F5" s="31">
        <v>21</v>
      </c>
      <c r="G5" s="33">
        <v>6442.99</v>
      </c>
      <c r="H5" s="33">
        <v>6442.99</v>
      </c>
      <c r="I5" s="32">
        <f t="shared" si="1"/>
        <v>0</v>
      </c>
      <c r="J5" s="31">
        <v>19</v>
      </c>
      <c r="K5" s="33">
        <v>6442.99</v>
      </c>
      <c r="L5" s="33">
        <v>6442.99</v>
      </c>
      <c r="M5" s="32">
        <f t="shared" si="2"/>
        <v>0</v>
      </c>
      <c r="N5" s="31">
        <v>21</v>
      </c>
      <c r="O5" s="33">
        <v>6442.99</v>
      </c>
      <c r="P5" s="33">
        <v>6442.99</v>
      </c>
      <c r="Q5" s="32">
        <f t="shared" si="3"/>
        <v>0</v>
      </c>
      <c r="R5" s="31">
        <v>18</v>
      </c>
      <c r="S5" s="33">
        <v>6442.99</v>
      </c>
      <c r="T5" s="33">
        <v>6442.8568914765601</v>
      </c>
      <c r="U5" s="32">
        <f t="shared" si="4"/>
        <v>2.0659433498990318E-3</v>
      </c>
      <c r="V5" s="31">
        <v>13</v>
      </c>
      <c r="Z5" t="s">
        <v>19</v>
      </c>
      <c r="AA5">
        <v>5</v>
      </c>
      <c r="AB5">
        <v>5</v>
      </c>
      <c r="AC5" s="5">
        <f>AVERAGE(E13:E17)</f>
        <v>2.3259896619417159E-3</v>
      </c>
      <c r="AD5" s="5">
        <f>AVERAGE(F13:F17)</f>
        <v>11</v>
      </c>
      <c r="AE5">
        <v>5</v>
      </c>
      <c r="AF5">
        <v>5</v>
      </c>
      <c r="AG5" s="5">
        <f>AVERAGE(I13:I17)</f>
        <v>7.3018372688217836E-5</v>
      </c>
      <c r="AH5" s="5">
        <f>AVERAGE(J13:J17)</f>
        <v>7.6</v>
      </c>
      <c r="AI5">
        <v>5</v>
      </c>
      <c r="AJ5">
        <v>5</v>
      </c>
      <c r="AK5" s="5">
        <f>AVERAGE(M13:M17)</f>
        <v>0</v>
      </c>
      <c r="AL5" s="5">
        <f>AVERAGE(N13:N17)</f>
        <v>10.4</v>
      </c>
      <c r="AM5">
        <v>5</v>
      </c>
      <c r="AN5">
        <v>5</v>
      </c>
      <c r="AO5" s="5">
        <f>AVERAGE(Q13:Q17)</f>
        <v>3.4543882778156871E-4</v>
      </c>
      <c r="AP5" s="5">
        <f>AVERAGE(R13:R17)</f>
        <v>10</v>
      </c>
      <c r="AQ5">
        <v>5</v>
      </c>
      <c r="AR5">
        <v>5</v>
      </c>
      <c r="AS5" s="5">
        <f>AVERAGE(U13:U17)</f>
        <v>9.9175918787200099E-4</v>
      </c>
      <c r="AT5" s="6">
        <f>AVERAGE(V13:V17)</f>
        <v>7.6</v>
      </c>
      <c r="AU5">
        <f t="shared" si="5"/>
        <v>44.736842105263165</v>
      </c>
      <c r="AV5">
        <f t="shared" si="6"/>
        <v>0</v>
      </c>
    </row>
    <row r="6" spans="1:48">
      <c r="A6" s="29"/>
      <c r="B6" s="30" t="s">
        <v>10</v>
      </c>
      <c r="C6" s="31">
        <v>5784.79</v>
      </c>
      <c r="D6" s="31">
        <v>5784.79</v>
      </c>
      <c r="E6" s="32">
        <f t="shared" si="0"/>
        <v>0</v>
      </c>
      <c r="F6" s="31">
        <v>4</v>
      </c>
      <c r="G6" s="33">
        <v>5784.79</v>
      </c>
      <c r="H6" s="33">
        <v>5784.79</v>
      </c>
      <c r="I6" s="32">
        <f t="shared" si="1"/>
        <v>0</v>
      </c>
      <c r="J6" s="31">
        <v>4</v>
      </c>
      <c r="K6" s="33">
        <v>5784.79</v>
      </c>
      <c r="L6" s="33">
        <v>5784.79</v>
      </c>
      <c r="M6" s="32">
        <f t="shared" si="2"/>
        <v>0</v>
      </c>
      <c r="N6" s="31">
        <v>5</v>
      </c>
      <c r="O6" s="33">
        <v>5784.79</v>
      </c>
      <c r="P6" s="33">
        <v>5784.79</v>
      </c>
      <c r="Q6" s="32">
        <f t="shared" si="3"/>
        <v>0</v>
      </c>
      <c r="R6" s="31">
        <v>3</v>
      </c>
      <c r="S6" s="33">
        <v>5784.79</v>
      </c>
      <c r="T6" s="33">
        <v>5784.79</v>
      </c>
      <c r="U6" s="32">
        <f t="shared" si="4"/>
        <v>0</v>
      </c>
      <c r="V6" s="31">
        <v>3</v>
      </c>
      <c r="Z6" t="s">
        <v>21</v>
      </c>
      <c r="AA6">
        <v>5</v>
      </c>
      <c r="AB6">
        <v>5</v>
      </c>
      <c r="AC6" s="5">
        <f>AVERAGE(E18:E22)</f>
        <v>7.8195626716275057E-3</v>
      </c>
      <c r="AD6" s="5">
        <f>AVERAGE(F18:F22)</f>
        <v>80</v>
      </c>
      <c r="AE6">
        <v>5</v>
      </c>
      <c r="AF6">
        <v>5</v>
      </c>
      <c r="AG6" s="5">
        <f>AVERAGE(I18:I22)</f>
        <v>7.5559608125982461E-3</v>
      </c>
      <c r="AH6" s="5">
        <f>AVERAGE(J18:J22)</f>
        <v>68.8</v>
      </c>
      <c r="AI6">
        <v>5</v>
      </c>
      <c r="AJ6">
        <v>5</v>
      </c>
      <c r="AK6" s="5">
        <f>AVERAGE(M18:M22)</f>
        <v>6.9289147799376505E-3</v>
      </c>
      <c r="AL6" s="5">
        <f>AVERAGE(N18:N22)</f>
        <v>64.599999999999994</v>
      </c>
      <c r="AM6">
        <v>5</v>
      </c>
      <c r="AN6">
        <v>5</v>
      </c>
      <c r="AO6" s="5">
        <f>AVERAGE(Q18:Q22)</f>
        <v>8.6785428800355974E-3</v>
      </c>
      <c r="AP6" s="5">
        <f>AVERAGE(R18:R22)</f>
        <v>55.4</v>
      </c>
      <c r="AQ6">
        <v>5</v>
      </c>
      <c r="AR6">
        <v>5</v>
      </c>
      <c r="AS6" s="5">
        <f>AVERAGE(U18:U22)</f>
        <v>8.3193808316784461E-3</v>
      </c>
      <c r="AT6" s="6">
        <f>AVERAGE(V18:V22)</f>
        <v>50.6</v>
      </c>
      <c r="AU6">
        <f t="shared" si="5"/>
        <v>58.102766798418969</v>
      </c>
      <c r="AV6">
        <f t="shared" si="6"/>
        <v>0.35968379446640308</v>
      </c>
    </row>
    <row r="7" spans="1:48">
      <c r="A7" s="29"/>
      <c r="B7" s="30" t="s">
        <v>11</v>
      </c>
      <c r="C7" s="31">
        <v>6153.46</v>
      </c>
      <c r="D7" s="31">
        <v>6153.46</v>
      </c>
      <c r="E7" s="32">
        <f t="shared" si="0"/>
        <v>0</v>
      </c>
      <c r="F7" s="31">
        <v>11</v>
      </c>
      <c r="G7" s="33">
        <v>6153.46</v>
      </c>
      <c r="H7" s="33">
        <v>6153.46</v>
      </c>
      <c r="I7" s="32">
        <f t="shared" si="1"/>
        <v>0</v>
      </c>
      <c r="J7" s="31">
        <v>11</v>
      </c>
      <c r="K7" s="33">
        <v>6153.46</v>
      </c>
      <c r="L7" s="33">
        <v>6153.46</v>
      </c>
      <c r="M7" s="32">
        <f t="shared" si="2"/>
        <v>0</v>
      </c>
      <c r="N7" s="31">
        <v>11</v>
      </c>
      <c r="O7" s="33">
        <v>6153.46</v>
      </c>
      <c r="P7" s="33">
        <v>6153.46</v>
      </c>
      <c r="Q7" s="32">
        <f t="shared" si="3"/>
        <v>0</v>
      </c>
      <c r="R7" s="31">
        <v>8</v>
      </c>
      <c r="S7" s="33">
        <v>6153.46</v>
      </c>
      <c r="T7" s="33">
        <v>6153.46</v>
      </c>
      <c r="U7" s="32">
        <f t="shared" si="4"/>
        <v>0</v>
      </c>
      <c r="V7" s="31">
        <v>7</v>
      </c>
      <c r="Z7" t="s">
        <v>23</v>
      </c>
      <c r="AA7">
        <v>5</v>
      </c>
      <c r="AB7">
        <v>5</v>
      </c>
      <c r="AC7" s="5">
        <f>AVERAGE(E23:E27)</f>
        <v>9.5843237858310223E-3</v>
      </c>
      <c r="AD7" s="5">
        <f>AVERAGE(F23:F27)</f>
        <v>342</v>
      </c>
      <c r="AE7">
        <v>5</v>
      </c>
      <c r="AF7">
        <v>5</v>
      </c>
      <c r="AG7" s="5">
        <f>AVERAGE(I23:I27)</f>
        <v>9.5540179067666094E-3</v>
      </c>
      <c r="AH7" s="5">
        <f>AVERAGE(J23:J27)</f>
        <v>328.4</v>
      </c>
      <c r="AI7">
        <v>5</v>
      </c>
      <c r="AJ7">
        <v>5</v>
      </c>
      <c r="AK7" s="5">
        <f>AVERAGE(M23:M27)</f>
        <v>9.6447101561088263E-3</v>
      </c>
      <c r="AL7" s="5">
        <f>AVERAGE(N23:N27)</f>
        <v>253.8</v>
      </c>
      <c r="AM7">
        <v>5</v>
      </c>
      <c r="AN7">
        <v>5</v>
      </c>
      <c r="AO7" s="5">
        <f>AVERAGE(Q23:Q27)</f>
        <v>8.7947873923258056E-3</v>
      </c>
      <c r="AP7" s="5">
        <f>AVERAGE(R23:R27)</f>
        <v>228.6</v>
      </c>
      <c r="AQ7">
        <v>5</v>
      </c>
      <c r="AR7">
        <v>5</v>
      </c>
      <c r="AS7" s="5">
        <f>AVERAGE(U23:U27)</f>
        <v>7.6462353754388852E-3</v>
      </c>
      <c r="AT7" s="6">
        <f>AVERAGE(V23:V27)</f>
        <v>199.4</v>
      </c>
      <c r="AU7">
        <f t="shared" si="5"/>
        <v>71.514543630892675</v>
      </c>
      <c r="AV7">
        <f t="shared" si="6"/>
        <v>0.64694082246740203</v>
      </c>
    </row>
    <row r="8" spans="1:48">
      <c r="A8" s="21" t="s">
        <v>18</v>
      </c>
      <c r="B8" t="s">
        <v>7</v>
      </c>
      <c r="C8" s="1">
        <v>5773.19</v>
      </c>
      <c r="D8" s="1">
        <v>5772.62938438731</v>
      </c>
      <c r="E8" s="3">
        <f t="shared" si="0"/>
        <v>9.7106731753089145E-3</v>
      </c>
      <c r="F8" s="1">
        <v>86</v>
      </c>
      <c r="G8" s="7">
        <v>5773.19</v>
      </c>
      <c r="H8" s="7">
        <v>5772.6237663532702</v>
      </c>
      <c r="I8" s="3">
        <f t="shared" si="1"/>
        <v>9.8079856496913389E-3</v>
      </c>
      <c r="J8" s="1">
        <v>84</v>
      </c>
      <c r="K8" s="7">
        <v>5773.1900000000096</v>
      </c>
      <c r="L8" s="7">
        <v>5772.6174193286797</v>
      </c>
      <c r="M8" s="3">
        <f t="shared" si="2"/>
        <v>9.9179252948523606E-3</v>
      </c>
      <c r="N8" s="1">
        <v>107</v>
      </c>
      <c r="O8" s="7">
        <v>5773.19</v>
      </c>
      <c r="P8" s="7">
        <v>5772.7207289816097</v>
      </c>
      <c r="Q8" s="3">
        <f t="shared" si="3"/>
        <v>8.1284526992861511E-3</v>
      </c>
      <c r="R8" s="1">
        <v>76</v>
      </c>
      <c r="S8" s="7">
        <v>5773.19</v>
      </c>
      <c r="T8" s="7">
        <v>5772.6139742100304</v>
      </c>
      <c r="U8" s="3">
        <f t="shared" si="4"/>
        <v>9.9775997320235062E-3</v>
      </c>
      <c r="V8" s="1">
        <v>72</v>
      </c>
      <c r="Z8" t="s">
        <v>25</v>
      </c>
      <c r="AA8">
        <v>5</v>
      </c>
      <c r="AB8">
        <v>5</v>
      </c>
      <c r="AC8" s="5">
        <f>AVERAGE(E28:E32)</f>
        <v>9.7033517399998659E-3</v>
      </c>
      <c r="AD8" s="5">
        <f>AVERAGE(F28:F32)</f>
        <v>569.20000000000005</v>
      </c>
      <c r="AE8">
        <v>5</v>
      </c>
      <c r="AF8">
        <v>5</v>
      </c>
      <c r="AG8" s="5">
        <f>AVERAGE(I28:I32)</f>
        <v>9.8409574093245959E-3</v>
      </c>
      <c r="AH8" s="5">
        <f>AVERAGE(J28:J32)</f>
        <v>437.8</v>
      </c>
      <c r="AI8">
        <v>5</v>
      </c>
      <c r="AJ8">
        <v>5</v>
      </c>
      <c r="AK8" s="5">
        <f>AVERAGE(M28:M32)</f>
        <v>8.5018036087259226E-3</v>
      </c>
      <c r="AL8" s="5">
        <f>AVERAGE(N28:N32)</f>
        <v>445.6</v>
      </c>
      <c r="AM8">
        <v>5</v>
      </c>
      <c r="AN8">
        <v>5</v>
      </c>
      <c r="AO8" s="5">
        <f>AVERAGE(Q28:Q32)</f>
        <v>9.6934663248140363E-3</v>
      </c>
      <c r="AP8" s="5">
        <f>AVERAGE(R28:R32)</f>
        <v>441.2</v>
      </c>
      <c r="AQ8">
        <v>5</v>
      </c>
      <c r="AR8">
        <v>5</v>
      </c>
      <c r="AS8" s="5">
        <f>AVERAGE(U28:U32)</f>
        <v>9.7915350801773098E-3</v>
      </c>
      <c r="AT8" s="6">
        <f>AVERAGE(V28:V32)</f>
        <v>279.8</v>
      </c>
      <c r="AU8">
        <f t="shared" si="5"/>
        <v>103.43102215868478</v>
      </c>
      <c r="AV8">
        <f t="shared" si="6"/>
        <v>0.56468906361686921</v>
      </c>
    </row>
    <row r="9" spans="1:48">
      <c r="A9" s="21"/>
      <c r="B9" t="s">
        <v>8</v>
      </c>
      <c r="C9" s="1">
        <v>5730.82</v>
      </c>
      <c r="D9" s="1">
        <v>5730.2546128432105</v>
      </c>
      <c r="E9" s="3">
        <f t="shared" si="0"/>
        <v>9.865728757651725E-3</v>
      </c>
      <c r="F9" s="1">
        <v>47</v>
      </c>
      <c r="G9" s="7">
        <v>5730.82</v>
      </c>
      <c r="H9" s="7">
        <v>5730.3503343915299</v>
      </c>
      <c r="I9" s="3">
        <f t="shared" si="1"/>
        <v>8.1954346580379051E-3</v>
      </c>
      <c r="J9" s="1">
        <v>26</v>
      </c>
      <c r="K9" s="7">
        <v>5730.82</v>
      </c>
      <c r="L9" s="7">
        <v>5730.62520950615</v>
      </c>
      <c r="M9" s="3">
        <f t="shared" si="2"/>
        <v>3.398998639805877E-3</v>
      </c>
      <c r="N9" s="1">
        <v>19</v>
      </c>
      <c r="O9" s="7">
        <v>5730.82</v>
      </c>
      <c r="P9" s="7">
        <v>5730.82</v>
      </c>
      <c r="Q9" s="3">
        <f t="shared" si="3"/>
        <v>0</v>
      </c>
      <c r="R9" s="1">
        <v>20</v>
      </c>
      <c r="S9" s="7">
        <v>5730.82</v>
      </c>
      <c r="T9" s="7">
        <v>5730.31711924511</v>
      </c>
      <c r="U9" s="3">
        <f t="shared" si="4"/>
        <v>8.7750226824381515E-3</v>
      </c>
      <c r="V9" s="1">
        <v>9</v>
      </c>
      <c r="Z9" t="s">
        <v>32</v>
      </c>
      <c r="AA9">
        <v>5</v>
      </c>
      <c r="AB9">
        <v>5</v>
      </c>
      <c r="AC9" s="5">
        <f>AVERAGE(E33:E37)</f>
        <v>3.7316124831640249E-3</v>
      </c>
      <c r="AD9" s="5">
        <f>AVERAGE(F33:F37)</f>
        <v>108.4</v>
      </c>
      <c r="AE9">
        <v>5</v>
      </c>
      <c r="AF9">
        <v>5</v>
      </c>
      <c r="AG9" s="5">
        <f>AVERAGE(I33:I37)</f>
        <v>4.7256985063356838E-3</v>
      </c>
      <c r="AH9" s="5">
        <f>AVERAGE(J33:J37)</f>
        <v>121.4</v>
      </c>
      <c r="AI9">
        <v>5</v>
      </c>
      <c r="AJ9">
        <v>5</v>
      </c>
      <c r="AK9" s="5">
        <f>AVERAGE(M33:M37)</f>
        <v>5.6721639344939614E-3</v>
      </c>
      <c r="AL9" s="5">
        <f>AVERAGE(N33:N37)</f>
        <v>127</v>
      </c>
      <c r="AM9">
        <v>5</v>
      </c>
      <c r="AN9">
        <v>5</v>
      </c>
      <c r="AO9" s="5">
        <f>AVERAGE(Q33:Q37)</f>
        <v>5.3939478937107431E-3</v>
      </c>
      <c r="AP9" s="5">
        <f>AVERAGE(R33:R37)</f>
        <v>121.8</v>
      </c>
      <c r="AQ9">
        <v>5</v>
      </c>
      <c r="AR9">
        <v>5</v>
      </c>
      <c r="AS9" s="5">
        <f>AVERAGE(U33:U37)</f>
        <v>1.5688920092429143E-3</v>
      </c>
      <c r="AT9" s="6">
        <f>AVERAGE(V33:V37)</f>
        <v>75.599999999999994</v>
      </c>
      <c r="AU9">
        <f t="shared" si="5"/>
        <v>43.386243386243407</v>
      </c>
      <c r="AV9">
        <f t="shared" si="6"/>
        <v>0.60582010582010604</v>
      </c>
    </row>
    <row r="10" spans="1:48">
      <c r="A10" s="21"/>
      <c r="B10" t="s">
        <v>9</v>
      </c>
      <c r="C10" s="1">
        <v>5853.58</v>
      </c>
      <c r="D10" s="1">
        <v>5853.0787662657403</v>
      </c>
      <c r="E10" s="3">
        <f t="shared" si="0"/>
        <v>8.5628578452773448E-3</v>
      </c>
      <c r="F10" s="1">
        <v>98</v>
      </c>
      <c r="G10" s="7">
        <v>5853.58</v>
      </c>
      <c r="H10" s="7">
        <v>5853.0648517546797</v>
      </c>
      <c r="I10" s="3">
        <f t="shared" si="1"/>
        <v>8.8005672651647951E-3</v>
      </c>
      <c r="J10" s="1">
        <v>72</v>
      </c>
      <c r="K10" s="7">
        <v>5853.58</v>
      </c>
      <c r="L10" s="7">
        <v>5853.0229860418704</v>
      </c>
      <c r="M10" s="3">
        <f t="shared" si="2"/>
        <v>9.5157827881326203E-3</v>
      </c>
      <c r="N10" s="1">
        <v>70</v>
      </c>
      <c r="O10" s="7">
        <v>5853.58</v>
      </c>
      <c r="P10" s="7">
        <v>5852.9966735916296</v>
      </c>
      <c r="Q10" s="3">
        <f t="shared" si="3"/>
        <v>9.9652931773434351E-3</v>
      </c>
      <c r="R10" s="1">
        <v>62</v>
      </c>
      <c r="S10" s="7">
        <v>5853.58</v>
      </c>
      <c r="T10" s="7">
        <v>5853.0363387506904</v>
      </c>
      <c r="U10" s="3">
        <f t="shared" si="4"/>
        <v>9.2876709519555539E-3</v>
      </c>
      <c r="V10" s="1">
        <v>50</v>
      </c>
      <c r="Z10" t="s">
        <v>34</v>
      </c>
      <c r="AA10">
        <v>5</v>
      </c>
      <c r="AB10">
        <v>4</v>
      </c>
      <c r="AC10" s="5">
        <f>AVERAGE(E38:E42)</f>
        <v>0.83866668034663283</v>
      </c>
      <c r="AD10" s="5">
        <f>AVERAGE(F38:F42)</f>
        <v>906.2</v>
      </c>
      <c r="AE10">
        <v>5</v>
      </c>
      <c r="AF10">
        <v>4</v>
      </c>
      <c r="AG10" s="5">
        <f>AVERAGE(I38:I42)</f>
        <v>0.64931268830436462</v>
      </c>
      <c r="AH10" s="5">
        <f>AVERAGE(J38:J42)</f>
        <v>911.4</v>
      </c>
      <c r="AI10">
        <v>5</v>
      </c>
      <c r="AJ10">
        <v>5</v>
      </c>
      <c r="AK10" s="5">
        <f>AVERAGE(M38:M42)</f>
        <v>8.717048182730891E-3</v>
      </c>
      <c r="AL10" s="5">
        <f>AVERAGE(N38:N42)</f>
        <v>738.4</v>
      </c>
      <c r="AM10">
        <v>5</v>
      </c>
      <c r="AN10">
        <v>4</v>
      </c>
      <c r="AO10" s="5">
        <f>AVERAGE(Q38:Q42)</f>
        <v>0.10520693022024127</v>
      </c>
      <c r="AP10" s="5">
        <f>AVERAGE(R38:R42)</f>
        <v>924.6</v>
      </c>
      <c r="AQ10">
        <v>5</v>
      </c>
      <c r="AR10">
        <v>5</v>
      </c>
      <c r="AS10" s="5">
        <f>AVERAGE(U38:U42)</f>
        <v>9.5584087082145781E-3</v>
      </c>
      <c r="AT10" s="6">
        <f>AVERAGE(V38:V42)</f>
        <v>546.4</v>
      </c>
      <c r="AU10">
        <f t="shared" si="5"/>
        <v>65.849194729136187</v>
      </c>
      <c r="AV10">
        <f t="shared" si="6"/>
        <v>0.66800878477306003</v>
      </c>
    </row>
    <row r="11" spans="1:48">
      <c r="A11" s="21"/>
      <c r="B11" t="s">
        <v>10</v>
      </c>
      <c r="C11" s="1">
        <v>5649.95</v>
      </c>
      <c r="D11" s="1">
        <v>5649.5447140815304</v>
      </c>
      <c r="E11" s="3">
        <f t="shared" si="0"/>
        <v>7.1732655770301882E-3</v>
      </c>
      <c r="F11" s="1">
        <v>95</v>
      </c>
      <c r="G11" s="7">
        <v>5649.95</v>
      </c>
      <c r="H11" s="7">
        <v>5649.4257299138899</v>
      </c>
      <c r="I11" s="3">
        <f t="shared" si="1"/>
        <v>9.279198685119984E-3</v>
      </c>
      <c r="J11" s="1">
        <v>59</v>
      </c>
      <c r="K11" s="7">
        <v>5649.95</v>
      </c>
      <c r="L11" s="7">
        <v>5649.5648529459404</v>
      </c>
      <c r="M11" s="3">
        <f t="shared" si="2"/>
        <v>6.8168223446121905E-3</v>
      </c>
      <c r="N11" s="1">
        <v>45</v>
      </c>
      <c r="O11" s="7">
        <v>5649.95</v>
      </c>
      <c r="P11" s="7">
        <v>5649.3886485795301</v>
      </c>
      <c r="Q11" s="3">
        <f t="shared" si="3"/>
        <v>9.9355112960237031E-3</v>
      </c>
      <c r="R11" s="1">
        <v>69</v>
      </c>
      <c r="S11" s="7">
        <v>5649.95</v>
      </c>
      <c r="T11" s="7">
        <v>5649.6086938732496</v>
      </c>
      <c r="U11" s="3">
        <f t="shared" si="4"/>
        <v>6.0408698616831822E-3</v>
      </c>
      <c r="V11" s="1">
        <v>49</v>
      </c>
      <c r="Z11" t="s">
        <v>36</v>
      </c>
      <c r="AA11">
        <v>5</v>
      </c>
      <c r="AB11">
        <v>5</v>
      </c>
      <c r="AC11" s="5">
        <f>AVERAGE(E43:E47)</f>
        <v>9.1974642341944805E-3</v>
      </c>
      <c r="AD11" s="5">
        <f>AVERAGE(F43:F47)</f>
        <v>847.6</v>
      </c>
      <c r="AE11">
        <v>5</v>
      </c>
      <c r="AF11">
        <v>5</v>
      </c>
      <c r="AG11" s="5">
        <f>AVERAGE(I43:I47)</f>
        <v>9.9236447768443325E-3</v>
      </c>
      <c r="AH11" s="5">
        <f>AVERAGE(J43:J47)</f>
        <v>875.2</v>
      </c>
      <c r="AI11">
        <v>5</v>
      </c>
      <c r="AJ11">
        <v>5</v>
      </c>
      <c r="AK11" s="5">
        <f>AVERAGE(M43:M47)</f>
        <v>9.3030833848853304E-3</v>
      </c>
      <c r="AL11" s="5">
        <f>AVERAGE(N43:N47)</f>
        <v>859.6</v>
      </c>
      <c r="AM11">
        <v>5</v>
      </c>
      <c r="AN11">
        <v>5</v>
      </c>
      <c r="AO11" s="5">
        <f>AVERAGE(Q43:Q47)</f>
        <v>9.679560971265596E-3</v>
      </c>
      <c r="AP11" s="5">
        <f>AVERAGE(R43:R47)</f>
        <v>860</v>
      </c>
      <c r="AQ11">
        <v>5</v>
      </c>
      <c r="AR11">
        <v>5</v>
      </c>
      <c r="AS11" s="5">
        <f>AVERAGE(U43:U47)</f>
        <v>9.424140078265723E-3</v>
      </c>
      <c r="AT11" s="6">
        <f>AVERAGE(V43:V47)</f>
        <v>595.6</v>
      </c>
      <c r="AU11">
        <f t="shared" si="5"/>
        <v>42.310275352585627</v>
      </c>
      <c r="AV11">
        <f t="shared" si="6"/>
        <v>0.46944257891202151</v>
      </c>
    </row>
    <row r="12" spans="1:48">
      <c r="A12" s="21"/>
      <c r="B12" t="s">
        <v>11</v>
      </c>
      <c r="C12" s="1">
        <v>5616.28</v>
      </c>
      <c r="D12" s="1">
        <v>5615.8202298850601</v>
      </c>
      <c r="E12" s="3">
        <f t="shared" si="0"/>
        <v>8.186381643002158E-3</v>
      </c>
      <c r="F12" s="1">
        <v>53</v>
      </c>
      <c r="G12" s="7">
        <v>5616.28</v>
      </c>
      <c r="H12" s="7">
        <v>5615.7782076859203</v>
      </c>
      <c r="I12" s="3">
        <f t="shared" si="1"/>
        <v>8.9346028702177692E-3</v>
      </c>
      <c r="J12" s="1">
        <v>51</v>
      </c>
      <c r="K12" s="7">
        <v>5616.28</v>
      </c>
      <c r="L12" s="7">
        <v>5615.8234476404396</v>
      </c>
      <c r="M12" s="3">
        <f t="shared" si="2"/>
        <v>8.1290882854877563E-3</v>
      </c>
      <c r="N12" s="1">
        <v>56</v>
      </c>
      <c r="O12" s="7">
        <v>5616.28</v>
      </c>
      <c r="P12" s="7">
        <v>5615.8016137771901</v>
      </c>
      <c r="Q12" s="3">
        <f t="shared" si="3"/>
        <v>8.5178485191194902E-3</v>
      </c>
      <c r="R12" s="1">
        <v>56</v>
      </c>
      <c r="S12" s="7">
        <v>5616.28</v>
      </c>
      <c r="T12" s="7">
        <v>5615.7447681166404</v>
      </c>
      <c r="U12" s="3">
        <f t="shared" si="4"/>
        <v>9.5300071107441535E-3</v>
      </c>
      <c r="V12" s="1">
        <v>37</v>
      </c>
      <c r="Z12" t="s">
        <v>38</v>
      </c>
      <c r="AA12">
        <v>5</v>
      </c>
      <c r="AB12">
        <v>4</v>
      </c>
      <c r="AC12" s="5">
        <f>AVERAGE(E44:E48)</f>
        <v>2.0305917719172544</v>
      </c>
      <c r="AD12" s="5">
        <f>AVERAGE(F44:F48)</f>
        <v>1363.4</v>
      </c>
      <c r="AE12">
        <v>5</v>
      </c>
      <c r="AF12">
        <v>4</v>
      </c>
      <c r="AG12" s="5">
        <f>AVERAGE(I48:I52)</f>
        <v>0.33659945169575856</v>
      </c>
      <c r="AH12" s="5">
        <f>AVERAGE(J48:J52)</f>
        <v>1881.4</v>
      </c>
      <c r="AI12">
        <v>5</v>
      </c>
      <c r="AJ12">
        <v>4</v>
      </c>
      <c r="AK12" s="5">
        <f>AVERAGE(M48:M52)</f>
        <v>0.1734231408561886</v>
      </c>
      <c r="AL12" s="5">
        <f>AVERAGE(N48:N52)</f>
        <v>1572.6</v>
      </c>
      <c r="AM12">
        <v>5</v>
      </c>
      <c r="AN12">
        <v>5</v>
      </c>
      <c r="AO12" s="5">
        <f>AVERAGE(Q48:Q52)</f>
        <v>9.2907086623380229E-3</v>
      </c>
      <c r="AP12" s="5">
        <f>AVERAGE(R48:R52)</f>
        <v>1189.5999999999999</v>
      </c>
      <c r="AQ12">
        <v>5</v>
      </c>
      <c r="AR12">
        <v>5</v>
      </c>
      <c r="AS12" s="5">
        <f>AVERAGE(U48:U52)</f>
        <v>8.4471880662210057E-3</v>
      </c>
      <c r="AT12" s="6">
        <f>AVERAGE(V48:V52)</f>
        <v>1105.5999999999999</v>
      </c>
      <c r="AU12">
        <f t="shared" si="5"/>
        <v>23.317655571635328</v>
      </c>
      <c r="AV12">
        <f t="shared" si="6"/>
        <v>0.70170043415340111</v>
      </c>
    </row>
    <row r="13" spans="1:48">
      <c r="A13" s="29" t="s">
        <v>20</v>
      </c>
      <c r="B13" s="30" t="s">
        <v>7</v>
      </c>
      <c r="C13" s="31">
        <v>7711.79</v>
      </c>
      <c r="D13" s="31">
        <v>7711.22230484386</v>
      </c>
      <c r="E13" s="32">
        <f t="shared" si="0"/>
        <v>7.3613928301984616E-3</v>
      </c>
      <c r="F13" s="31">
        <v>11</v>
      </c>
      <c r="G13" s="33">
        <v>7711.79</v>
      </c>
      <c r="H13" s="33">
        <v>7711.79</v>
      </c>
      <c r="I13" s="32">
        <f t="shared" si="1"/>
        <v>0</v>
      </c>
      <c r="J13" s="31">
        <v>9</v>
      </c>
      <c r="K13" s="33">
        <v>7711.79</v>
      </c>
      <c r="L13" s="33">
        <v>7711.79</v>
      </c>
      <c r="M13" s="32">
        <f t="shared" si="2"/>
        <v>0</v>
      </c>
      <c r="N13" s="31">
        <v>8</v>
      </c>
      <c r="O13" s="33">
        <v>7711.79</v>
      </c>
      <c r="P13" s="33">
        <v>7711.79</v>
      </c>
      <c r="Q13" s="32">
        <f t="shared" si="3"/>
        <v>0</v>
      </c>
      <c r="R13" s="31">
        <v>11</v>
      </c>
      <c r="S13" s="33">
        <v>7711.79</v>
      </c>
      <c r="T13" s="33">
        <v>7711.79</v>
      </c>
      <c r="U13" s="32">
        <f t="shared" si="4"/>
        <v>0</v>
      </c>
      <c r="V13" s="31">
        <v>6</v>
      </c>
      <c r="Z13" t="s">
        <v>40</v>
      </c>
      <c r="AA13">
        <v>5</v>
      </c>
      <c r="AB13">
        <v>3</v>
      </c>
      <c r="AC13" s="5">
        <f>AVERAGE(E53:E57)</f>
        <v>1.6485235282395287</v>
      </c>
      <c r="AD13" s="5">
        <f>AVERAGE(F53:F57)</f>
        <v>2204.8000000000002</v>
      </c>
      <c r="AE13">
        <v>5</v>
      </c>
      <c r="AF13">
        <v>4</v>
      </c>
      <c r="AG13" s="5">
        <f>AVERAGE(I53:I57)</f>
        <v>0.57116338543532619</v>
      </c>
      <c r="AH13" s="5">
        <f>AVERAGE(J53:J57)</f>
        <v>1987</v>
      </c>
      <c r="AI13">
        <v>5</v>
      </c>
      <c r="AJ13">
        <v>4</v>
      </c>
      <c r="AK13" s="5">
        <f>AVERAGE(M53:M57)</f>
        <v>0.11957213870723053</v>
      </c>
      <c r="AL13" s="5">
        <f>AVERAGE(N53:N57)</f>
        <v>1778.4</v>
      </c>
      <c r="AM13">
        <v>5</v>
      </c>
      <c r="AN13">
        <v>5</v>
      </c>
      <c r="AO13" s="5">
        <f>AVERAGE(Q53:Q57)</f>
        <v>9.8829381229225445E-3</v>
      </c>
      <c r="AP13" s="5">
        <f>AVERAGE(R53:R57)</f>
        <v>880.4</v>
      </c>
      <c r="AQ13">
        <v>5</v>
      </c>
      <c r="AR13">
        <v>5</v>
      </c>
      <c r="AS13" s="5">
        <f>AVERAGE(U53:U57)</f>
        <v>9.9146309523085695E-3</v>
      </c>
      <c r="AT13" s="6">
        <f>AVERAGE(V53:V57)</f>
        <v>716.2</v>
      </c>
      <c r="AU13">
        <f t="shared" si="5"/>
        <v>207.8469701200782</v>
      </c>
      <c r="AV13">
        <f t="shared" si="6"/>
        <v>1.7743647025970397</v>
      </c>
    </row>
    <row r="14" spans="1:48">
      <c r="A14" s="29"/>
      <c r="B14" s="30" t="s">
        <v>8</v>
      </c>
      <c r="C14" s="31">
        <v>7262.41</v>
      </c>
      <c r="D14" s="31">
        <v>7262.1</v>
      </c>
      <c r="E14" s="32">
        <f t="shared" si="0"/>
        <v>4.2685554795101168E-3</v>
      </c>
      <c r="F14" s="31">
        <v>10</v>
      </c>
      <c r="G14" s="33">
        <v>7262.41</v>
      </c>
      <c r="H14" s="33">
        <v>7262.3834855320001</v>
      </c>
      <c r="I14" s="32">
        <f t="shared" si="1"/>
        <v>3.6509186344108919E-4</v>
      </c>
      <c r="J14" s="31">
        <v>9</v>
      </c>
      <c r="K14" s="33">
        <v>7262.41</v>
      </c>
      <c r="L14" s="33">
        <v>7262.41</v>
      </c>
      <c r="M14" s="32">
        <f t="shared" si="2"/>
        <v>0</v>
      </c>
      <c r="N14" s="31">
        <v>6</v>
      </c>
      <c r="O14" s="33">
        <v>7262.41</v>
      </c>
      <c r="P14" s="33">
        <v>7262.41</v>
      </c>
      <c r="Q14" s="32">
        <f t="shared" si="3"/>
        <v>0</v>
      </c>
      <c r="R14" s="31">
        <v>4</v>
      </c>
      <c r="S14" s="33">
        <v>7262.41</v>
      </c>
      <c r="T14" s="33">
        <v>7262.41</v>
      </c>
      <c r="U14" s="32">
        <f t="shared" si="4"/>
        <v>0</v>
      </c>
      <c r="V14" s="31">
        <v>3</v>
      </c>
      <c r="Z14" t="s">
        <v>41</v>
      </c>
      <c r="AA14">
        <f>SUM(AA3:AA13)</f>
        <v>55</v>
      </c>
      <c r="AB14">
        <f>SUM(AB3:AB13)</f>
        <v>51</v>
      </c>
      <c r="AC14" s="4">
        <f>AVERAGE(AC3:AC13)</f>
        <v>0.4155064034639348</v>
      </c>
      <c r="AD14" s="5">
        <f>AVERAGE(AD3:AD13)</f>
        <v>593.03636363636372</v>
      </c>
      <c r="AE14">
        <f>SUM(AE3:AE13)</f>
        <v>55</v>
      </c>
      <c r="AF14">
        <f>SUM(AF3:AF13)</f>
        <v>52</v>
      </c>
      <c r="AG14" s="4">
        <f>AVERAGE(AG3:AG13)</f>
        <v>0.14626614539196969</v>
      </c>
      <c r="AH14" s="5">
        <f>AVERAGE(AH3:AH13)</f>
        <v>608.32727272727277</v>
      </c>
      <c r="AI14">
        <f>SUM(AI3:AI13)</f>
        <v>55</v>
      </c>
      <c r="AJ14">
        <f>SUM(AJ3:AJ13)</f>
        <v>53</v>
      </c>
      <c r="AK14" s="4">
        <f>AVERAGE(AK3:AK13)</f>
        <v>3.1893220053535849E-2</v>
      </c>
      <c r="AL14" s="5">
        <f>AVERAGE(AL3:AL13)</f>
        <v>538.5090909090909</v>
      </c>
      <c r="AM14">
        <f>SUM(AM3:AM13)</f>
        <v>55</v>
      </c>
      <c r="AN14">
        <f>SUM(AN3:AN13)</f>
        <v>54</v>
      </c>
      <c r="AO14" s="4">
        <f>AVERAGE(AO3:AO13)</f>
        <v>1.5970127493321756E-2</v>
      </c>
      <c r="AP14" s="5">
        <f>AVERAGE(AP3:AP13)</f>
        <v>434.43636363636364</v>
      </c>
      <c r="AQ14">
        <f>SUM(AQ3:AQ13)</f>
        <v>55</v>
      </c>
      <c r="AR14">
        <f>SUM(AR3:AR13)</f>
        <v>55</v>
      </c>
      <c r="AS14" s="4">
        <f>AVERAGE(AS3:AS13)</f>
        <v>6.7997811842880141E-3</v>
      </c>
      <c r="AT14" s="6">
        <f>AVERAGE(AT3:AT13)</f>
        <v>329.85454545454542</v>
      </c>
      <c r="AU14">
        <f t="shared" si="5"/>
        <v>79.787234042553237</v>
      </c>
      <c r="AV14">
        <f t="shared" si="6"/>
        <v>0.84422886120604157</v>
      </c>
    </row>
    <row r="15" spans="1:48">
      <c r="A15" s="29"/>
      <c r="B15" s="30" t="s">
        <v>9</v>
      </c>
      <c r="C15" s="31">
        <v>8568.35</v>
      </c>
      <c r="D15" s="31">
        <v>8568.35</v>
      </c>
      <c r="E15" s="32">
        <f t="shared" si="0"/>
        <v>0</v>
      </c>
      <c r="F15" s="31">
        <v>20</v>
      </c>
      <c r="G15" s="33">
        <v>8568.35</v>
      </c>
      <c r="H15" s="33">
        <v>8568.35</v>
      </c>
      <c r="I15" s="32">
        <f t="shared" si="1"/>
        <v>0</v>
      </c>
      <c r="J15" s="31">
        <v>8</v>
      </c>
      <c r="K15" s="33">
        <v>8568.35</v>
      </c>
      <c r="L15" s="33">
        <v>8568.35</v>
      </c>
      <c r="M15" s="32">
        <f t="shared" si="2"/>
        <v>0</v>
      </c>
      <c r="N15" s="31">
        <v>17</v>
      </c>
      <c r="O15" s="33">
        <v>8568.35</v>
      </c>
      <c r="P15" s="33">
        <v>8568.2020079609993</v>
      </c>
      <c r="Q15" s="32">
        <f t="shared" si="3"/>
        <v>1.7271941389078436E-3</v>
      </c>
      <c r="R15" s="31">
        <v>14</v>
      </c>
      <c r="S15" s="33">
        <v>8568.35</v>
      </c>
      <c r="T15" s="33">
        <v>8567.9251130081302</v>
      </c>
      <c r="U15" s="32">
        <f t="shared" si="4"/>
        <v>4.9587959393600049E-3</v>
      </c>
      <c r="V15" s="31">
        <v>11</v>
      </c>
    </row>
    <row r="16" spans="1:48">
      <c r="A16" s="29"/>
      <c r="B16" s="30" t="s">
        <v>10</v>
      </c>
      <c r="C16" s="31">
        <v>7694.67</v>
      </c>
      <c r="D16" s="31">
        <v>7694.67</v>
      </c>
      <c r="E16" s="32">
        <f t="shared" si="0"/>
        <v>0</v>
      </c>
      <c r="F16" s="31">
        <v>8</v>
      </c>
      <c r="G16" s="33">
        <v>7694.67</v>
      </c>
      <c r="H16" s="33">
        <v>7694.67</v>
      </c>
      <c r="I16" s="32">
        <f t="shared" si="1"/>
        <v>0</v>
      </c>
      <c r="J16" s="31">
        <v>7</v>
      </c>
      <c r="K16" s="33">
        <v>7694.67</v>
      </c>
      <c r="L16" s="33">
        <v>7694.67</v>
      </c>
      <c r="M16" s="32">
        <f t="shared" si="2"/>
        <v>0</v>
      </c>
      <c r="N16" s="31">
        <v>9</v>
      </c>
      <c r="O16" s="33">
        <v>7694.67</v>
      </c>
      <c r="P16" s="33">
        <v>7694.67</v>
      </c>
      <c r="Q16" s="32">
        <f t="shared" si="3"/>
        <v>0</v>
      </c>
      <c r="R16" s="31">
        <v>10</v>
      </c>
      <c r="S16" s="33">
        <v>7694.67</v>
      </c>
      <c r="T16" s="33">
        <v>7694.67</v>
      </c>
      <c r="U16" s="32">
        <f t="shared" si="4"/>
        <v>0</v>
      </c>
      <c r="V16" s="31">
        <v>8</v>
      </c>
    </row>
    <row r="17" spans="1:46">
      <c r="A17" s="29"/>
      <c r="B17" s="30" t="s">
        <v>11</v>
      </c>
      <c r="C17" s="31">
        <v>7659.75</v>
      </c>
      <c r="D17" s="31">
        <v>7659.75</v>
      </c>
      <c r="E17" s="32">
        <f t="shared" si="0"/>
        <v>0</v>
      </c>
      <c r="F17" s="31">
        <v>6</v>
      </c>
      <c r="G17" s="33">
        <v>7659.75</v>
      </c>
      <c r="H17" s="33">
        <v>7659.75</v>
      </c>
      <c r="I17" s="32">
        <f t="shared" si="1"/>
        <v>0</v>
      </c>
      <c r="J17" s="31">
        <v>5</v>
      </c>
      <c r="K17" s="33">
        <v>7659.75</v>
      </c>
      <c r="L17" s="33">
        <v>7659.75</v>
      </c>
      <c r="M17" s="32">
        <f t="shared" si="2"/>
        <v>0</v>
      </c>
      <c r="N17" s="31">
        <v>12</v>
      </c>
      <c r="O17" s="33">
        <v>7659.75</v>
      </c>
      <c r="P17" s="33">
        <v>7659.75</v>
      </c>
      <c r="Q17" s="32">
        <f t="shared" si="3"/>
        <v>0</v>
      </c>
      <c r="R17" s="31">
        <v>11</v>
      </c>
      <c r="S17" s="33">
        <v>7659.75</v>
      </c>
      <c r="T17" s="33">
        <v>7659.75</v>
      </c>
      <c r="U17" s="32">
        <f t="shared" si="4"/>
        <v>0</v>
      </c>
      <c r="V17" s="31">
        <v>10</v>
      </c>
      <c r="Z17" s="1" t="s">
        <v>78</v>
      </c>
      <c r="AP17" s="1" t="s">
        <v>78</v>
      </c>
      <c r="AQ17">
        <v>5</v>
      </c>
      <c r="AR17">
        <v>2</v>
      </c>
      <c r="AS17" s="5">
        <f>AVERAGE(U62:U66)</f>
        <v>2.1052114628578162</v>
      </c>
      <c r="AT17" s="5">
        <f>AVERAGE(W62:W66)</f>
        <v>1882.6</v>
      </c>
    </row>
    <row r="18" spans="1:46">
      <c r="A18" s="21" t="s">
        <v>22</v>
      </c>
      <c r="B18" t="s">
        <v>7</v>
      </c>
      <c r="C18" s="1">
        <v>7603.55</v>
      </c>
      <c r="D18" s="1">
        <v>7603.07</v>
      </c>
      <c r="E18" s="3">
        <f t="shared" si="0"/>
        <v>6.3128407125681157E-3</v>
      </c>
      <c r="F18" s="1">
        <v>64</v>
      </c>
      <c r="G18" s="7">
        <v>7603.55</v>
      </c>
      <c r="H18" s="7">
        <v>7602.9720296845999</v>
      </c>
      <c r="I18" s="3">
        <f t="shared" si="1"/>
        <v>7.6013219535652071E-3</v>
      </c>
      <c r="J18" s="1">
        <v>65</v>
      </c>
      <c r="K18" s="7">
        <v>7603.55</v>
      </c>
      <c r="L18" s="7">
        <v>7602.9037172722801</v>
      </c>
      <c r="M18" s="3">
        <f t="shared" si="2"/>
        <v>8.4997498237016009E-3</v>
      </c>
      <c r="N18" s="1">
        <v>61</v>
      </c>
      <c r="O18" s="7">
        <v>7603.55</v>
      </c>
      <c r="P18" s="7">
        <v>7602.8546550493602</v>
      </c>
      <c r="Q18" s="3">
        <f t="shared" si="3"/>
        <v>9.14500398682184E-3</v>
      </c>
      <c r="R18" s="1">
        <v>53</v>
      </c>
      <c r="S18" s="7">
        <v>7603.55</v>
      </c>
      <c r="T18" s="7">
        <v>7602.8782857504402</v>
      </c>
      <c r="U18" s="3">
        <f t="shared" si="4"/>
        <v>8.83421887881259E-3</v>
      </c>
      <c r="V18" s="1">
        <v>55</v>
      </c>
      <c r="Z18" s="1" t="s">
        <v>79</v>
      </c>
      <c r="AP18" s="1" t="s">
        <v>79</v>
      </c>
      <c r="AQ18">
        <v>5</v>
      </c>
      <c r="AR18">
        <v>1</v>
      </c>
      <c r="AS18" s="5">
        <f>AVERAGE(U67:U71)</f>
        <v>2.211029008771813</v>
      </c>
      <c r="AT18" s="5">
        <f>AVERAGE(W67:W71)</f>
        <v>2688.8</v>
      </c>
    </row>
    <row r="19" spans="1:46">
      <c r="A19" s="21"/>
      <c r="B19" t="s">
        <v>8</v>
      </c>
      <c r="C19" s="1">
        <v>6985.4</v>
      </c>
      <c r="D19" s="1">
        <v>6984.9786139817597</v>
      </c>
      <c r="E19" s="3">
        <f t="shared" si="0"/>
        <v>6.0323820860637943E-3</v>
      </c>
      <c r="F19" s="1">
        <v>107</v>
      </c>
      <c r="G19" s="7">
        <v>6985.4</v>
      </c>
      <c r="H19" s="7">
        <v>6985.1448685127898</v>
      </c>
      <c r="I19" s="3">
        <f t="shared" si="1"/>
        <v>3.6523532970171696E-3</v>
      </c>
      <c r="J19" s="1">
        <v>99</v>
      </c>
      <c r="K19" s="7">
        <v>6985.4</v>
      </c>
      <c r="L19" s="7">
        <v>6984.8176036045097</v>
      </c>
      <c r="M19" s="3">
        <f t="shared" si="2"/>
        <v>8.3373378115773281E-3</v>
      </c>
      <c r="N19" s="1">
        <v>95</v>
      </c>
      <c r="O19" s="7">
        <v>6985.4</v>
      </c>
      <c r="P19" s="7">
        <v>6984.7834273955596</v>
      </c>
      <c r="Q19" s="3">
        <f t="shared" si="3"/>
        <v>8.8265898078861618E-3</v>
      </c>
      <c r="R19" s="1">
        <v>65</v>
      </c>
      <c r="S19" s="7">
        <v>6985.4</v>
      </c>
      <c r="T19" s="7">
        <v>6984.81576363355</v>
      </c>
      <c r="U19" s="3">
        <f t="shared" si="4"/>
        <v>8.363678049212054E-3</v>
      </c>
      <c r="V19" s="1">
        <v>59</v>
      </c>
      <c r="Z19" s="1" t="s">
        <v>80</v>
      </c>
      <c r="AP19" s="1" t="s">
        <v>80</v>
      </c>
      <c r="AQ19">
        <v>5</v>
      </c>
      <c r="AR19">
        <v>2</v>
      </c>
      <c r="AS19" s="5">
        <f>AVERAGE(U72:U76)</f>
        <v>2.5496120913769396</v>
      </c>
      <c r="AT19" s="5">
        <f>AVERAGE(W72:W76)</f>
        <v>2515.8000000000002</v>
      </c>
    </row>
    <row r="20" spans="1:46">
      <c r="A20" s="21"/>
      <c r="B20" t="s">
        <v>9</v>
      </c>
      <c r="C20" s="1">
        <v>7317.67</v>
      </c>
      <c r="D20" s="1">
        <v>7317.02</v>
      </c>
      <c r="E20" s="3">
        <f t="shared" si="0"/>
        <v>8.8826088085365452E-3</v>
      </c>
      <c r="F20" s="1">
        <v>52</v>
      </c>
      <c r="G20" s="7">
        <v>7317.67</v>
      </c>
      <c r="H20" s="7">
        <v>7317.0437961673397</v>
      </c>
      <c r="I20" s="3">
        <f t="shared" si="1"/>
        <v>8.5574210460487334E-3</v>
      </c>
      <c r="J20" s="1">
        <v>45</v>
      </c>
      <c r="K20" s="7">
        <v>7317.67</v>
      </c>
      <c r="L20" s="7">
        <v>7317.67</v>
      </c>
      <c r="M20" s="3">
        <f t="shared" si="2"/>
        <v>0</v>
      </c>
      <c r="N20" s="1">
        <v>35</v>
      </c>
      <c r="O20" s="7">
        <v>7317.67</v>
      </c>
      <c r="P20" s="7">
        <v>7316.9803635112703</v>
      </c>
      <c r="Q20" s="3">
        <f t="shared" si="3"/>
        <v>9.424263306896526E-3</v>
      </c>
      <c r="R20" s="1">
        <v>25</v>
      </c>
      <c r="S20" s="7">
        <v>7317.67</v>
      </c>
      <c r="T20" s="7">
        <v>7316.9888767908296</v>
      </c>
      <c r="U20" s="3">
        <f t="shared" si="4"/>
        <v>9.3079246422759828E-3</v>
      </c>
      <c r="V20" s="1">
        <v>25</v>
      </c>
      <c r="Z20" s="1" t="s">
        <v>81</v>
      </c>
      <c r="AP20" s="1" t="s">
        <v>81</v>
      </c>
      <c r="AQ20">
        <v>5</v>
      </c>
      <c r="AR20">
        <v>0</v>
      </c>
      <c r="AS20" s="5">
        <f>AVERAGE(U77:U81)</f>
        <v>10.044871963658981</v>
      </c>
      <c r="AT20" s="5">
        <f>AVERAGE(W77:W81)</f>
        <v>3600</v>
      </c>
    </row>
    <row r="21" spans="1:46">
      <c r="A21" s="21"/>
      <c r="B21" t="s">
        <v>10</v>
      </c>
      <c r="C21" s="1">
        <v>7464.98</v>
      </c>
      <c r="D21" s="1">
        <v>7464.29967096774</v>
      </c>
      <c r="E21" s="3">
        <f t="shared" si="0"/>
        <v>9.1136082381945913E-3</v>
      </c>
      <c r="F21" s="1">
        <v>69</v>
      </c>
      <c r="G21" s="7">
        <v>7464.98</v>
      </c>
      <c r="H21" s="7">
        <v>7464.2844230010996</v>
      </c>
      <c r="I21" s="3">
        <f t="shared" si="1"/>
        <v>9.3178682179982219E-3</v>
      </c>
      <c r="J21" s="1">
        <v>55</v>
      </c>
      <c r="K21" s="7">
        <v>7464.98</v>
      </c>
      <c r="L21" s="7">
        <v>7464.35009488792</v>
      </c>
      <c r="M21" s="3">
        <f t="shared" si="2"/>
        <v>8.4381352941272601E-3</v>
      </c>
      <c r="N21" s="1">
        <v>59</v>
      </c>
      <c r="O21" s="7">
        <v>7464.98</v>
      </c>
      <c r="P21" s="7">
        <v>7464.2412134567003</v>
      </c>
      <c r="Q21" s="3">
        <f t="shared" si="3"/>
        <v>9.8966982269113116E-3</v>
      </c>
      <c r="R21" s="1">
        <v>62</v>
      </c>
      <c r="S21" s="7">
        <v>7464.98</v>
      </c>
      <c r="T21" s="7">
        <v>7464.3084558383298</v>
      </c>
      <c r="U21" s="3">
        <f t="shared" si="4"/>
        <v>8.9959271380468768E-3</v>
      </c>
      <c r="V21" s="1">
        <v>58</v>
      </c>
      <c r="Z21" s="1" t="s">
        <v>82</v>
      </c>
      <c r="AP21" s="1" t="s">
        <v>82</v>
      </c>
      <c r="AQ21">
        <v>5</v>
      </c>
      <c r="AR21">
        <v>5</v>
      </c>
      <c r="AS21" s="5">
        <f>AVERAGE(U82:U86)</f>
        <v>9.3695502697141719E-3</v>
      </c>
      <c r="AT21" s="5">
        <f>AVERAGE(W82:W86)</f>
        <v>728.6</v>
      </c>
    </row>
    <row r="22" spans="1:46">
      <c r="A22" s="21"/>
      <c r="B22" t="s">
        <v>11</v>
      </c>
      <c r="C22" s="1">
        <v>7579.2</v>
      </c>
      <c r="D22" s="1">
        <v>7578.5363369387196</v>
      </c>
      <c r="E22" s="3">
        <f t="shared" si="0"/>
        <v>8.7563735127744839E-3</v>
      </c>
      <c r="F22" s="1">
        <v>108</v>
      </c>
      <c r="G22" s="7">
        <v>7579.2</v>
      </c>
      <c r="H22" s="7">
        <v>7578.5443355689504</v>
      </c>
      <c r="I22" s="3">
        <f t="shared" si="1"/>
        <v>8.6508395483618963E-3</v>
      </c>
      <c r="J22" s="1">
        <v>80</v>
      </c>
      <c r="K22" s="7">
        <v>7579.2</v>
      </c>
      <c r="L22" s="7">
        <v>7578.4898781512602</v>
      </c>
      <c r="M22" s="3">
        <f t="shared" si="2"/>
        <v>9.3693509702820633E-3</v>
      </c>
      <c r="N22" s="1">
        <v>73</v>
      </c>
      <c r="O22" s="7">
        <v>7579.2</v>
      </c>
      <c r="P22" s="7">
        <v>7578.7376567436404</v>
      </c>
      <c r="Q22" s="3">
        <f t="shared" si="3"/>
        <v>6.1001590716621527E-3</v>
      </c>
      <c r="R22" s="1">
        <v>72</v>
      </c>
      <c r="S22" s="7">
        <v>7579.2</v>
      </c>
      <c r="T22" s="7">
        <v>7578.73803597813</v>
      </c>
      <c r="U22" s="3">
        <f t="shared" si="4"/>
        <v>6.0951554500447216E-3</v>
      </c>
      <c r="V22" s="1">
        <v>56</v>
      </c>
      <c r="Z22" s="1" t="s">
        <v>83</v>
      </c>
      <c r="AP22" s="1" t="s">
        <v>83</v>
      </c>
      <c r="AQ22">
        <v>5</v>
      </c>
      <c r="AR22">
        <v>5</v>
      </c>
      <c r="AS22" s="5">
        <f>AVERAGE(U87:U91)</f>
        <v>9.935662485965828E-3</v>
      </c>
      <c r="AT22" s="5">
        <f>AVERAGE(W87:W91)</f>
        <v>1189.8</v>
      </c>
    </row>
    <row r="23" spans="1:46">
      <c r="A23" s="29" t="s">
        <v>24</v>
      </c>
      <c r="B23" s="30" t="s">
        <v>7</v>
      </c>
      <c r="C23" s="31">
        <v>7272.55</v>
      </c>
      <c r="D23" s="31">
        <v>7271.8569007469396</v>
      </c>
      <c r="E23" s="32">
        <f t="shared" si="0"/>
        <v>9.5303470317922735E-3</v>
      </c>
      <c r="F23" s="31">
        <v>337</v>
      </c>
      <c r="G23" s="33">
        <v>7272.55</v>
      </c>
      <c r="H23" s="33">
        <v>7271.8342819190802</v>
      </c>
      <c r="I23" s="32">
        <f t="shared" si="1"/>
        <v>9.8413634958844105E-3</v>
      </c>
      <c r="J23" s="31">
        <v>241</v>
      </c>
      <c r="K23" s="33">
        <v>7272.55</v>
      </c>
      <c r="L23" s="33">
        <v>7271.8368246604496</v>
      </c>
      <c r="M23" s="32">
        <f t="shared" si="2"/>
        <v>9.8063999498197562E-3</v>
      </c>
      <c r="N23" s="31">
        <v>138</v>
      </c>
      <c r="O23" s="33">
        <v>7272.55</v>
      </c>
      <c r="P23" s="33">
        <v>7271.8681549947796</v>
      </c>
      <c r="Q23" s="32">
        <f t="shared" si="3"/>
        <v>9.3755973519682404E-3</v>
      </c>
      <c r="R23" s="31">
        <v>142</v>
      </c>
      <c r="S23" s="33">
        <v>7272.55</v>
      </c>
      <c r="T23" s="33">
        <v>7271.8818351587197</v>
      </c>
      <c r="U23" s="32">
        <f t="shared" si="4"/>
        <v>9.1874905126879316E-3</v>
      </c>
      <c r="V23" s="31">
        <v>115</v>
      </c>
      <c r="Z23" s="1" t="s">
        <v>84</v>
      </c>
      <c r="AP23" s="1" t="s">
        <v>84</v>
      </c>
      <c r="AQ23">
        <v>5</v>
      </c>
      <c r="AR23">
        <v>4</v>
      </c>
      <c r="AS23" s="5">
        <f>AVERAGE(U92:U96)</f>
        <v>0.18525683154336436</v>
      </c>
      <c r="AT23" s="5">
        <f>AVERAGE(W92:W96)</f>
        <v>1917.4</v>
      </c>
    </row>
    <row r="24" spans="1:46">
      <c r="A24" s="29"/>
      <c r="B24" s="30" t="s">
        <v>8</v>
      </c>
      <c r="C24" s="31">
        <v>7261.26</v>
      </c>
      <c r="D24" s="31">
        <v>7260.5641126160299</v>
      </c>
      <c r="E24" s="32">
        <f t="shared" si="0"/>
        <v>9.5835624116245681E-3</v>
      </c>
      <c r="F24" s="31">
        <v>216</v>
      </c>
      <c r="G24" s="33">
        <v>7261.26</v>
      </c>
      <c r="H24" s="33">
        <v>7260.6555734049398</v>
      </c>
      <c r="I24" s="32">
        <f t="shared" si="1"/>
        <v>8.3239905341556605E-3</v>
      </c>
      <c r="J24" s="31">
        <v>278</v>
      </c>
      <c r="K24" s="33">
        <v>7261.26</v>
      </c>
      <c r="L24" s="33">
        <v>7260.5918853469402</v>
      </c>
      <c r="M24" s="32">
        <f t="shared" si="2"/>
        <v>9.2010842892280634E-3</v>
      </c>
      <c r="N24" s="31">
        <v>109</v>
      </c>
      <c r="O24" s="33">
        <v>7261.26</v>
      </c>
      <c r="P24" s="33">
        <v>7260.5633726368096</v>
      </c>
      <c r="Q24" s="32">
        <f t="shared" si="3"/>
        <v>9.5937531942197445E-3</v>
      </c>
      <c r="R24" s="31">
        <v>187</v>
      </c>
      <c r="S24" s="33">
        <v>7261.26</v>
      </c>
      <c r="T24" s="33">
        <v>7260.56123943496</v>
      </c>
      <c r="U24" s="32">
        <f t="shared" si="4"/>
        <v>9.6231310411715697E-3</v>
      </c>
      <c r="V24" s="31">
        <v>140</v>
      </c>
      <c r="Z24" s="1" t="s">
        <v>85</v>
      </c>
      <c r="AP24" s="1" t="s">
        <v>85</v>
      </c>
      <c r="AQ24">
        <v>5</v>
      </c>
      <c r="AR24">
        <v>0</v>
      </c>
      <c r="AS24" s="5">
        <f>AVERAGE(U97:U101)</f>
        <v>6.6249278101826885</v>
      </c>
      <c r="AT24" s="5">
        <f>AVERAGE(W97:W101)</f>
        <v>3600</v>
      </c>
    </row>
    <row r="25" spans="1:46">
      <c r="A25" s="29"/>
      <c r="B25" s="30" t="s">
        <v>9</v>
      </c>
      <c r="C25" s="31">
        <v>7231.75</v>
      </c>
      <c r="D25" s="31">
        <v>7231.0531114791402</v>
      </c>
      <c r="E25" s="32">
        <f t="shared" si="0"/>
        <v>9.6365128891323596E-3</v>
      </c>
      <c r="F25" s="31">
        <v>211</v>
      </c>
      <c r="G25" s="33">
        <v>7231.74999999999</v>
      </c>
      <c r="H25" s="33">
        <v>7231.0369991296302</v>
      </c>
      <c r="I25" s="32">
        <f t="shared" si="1"/>
        <v>9.8593130343249315E-3</v>
      </c>
      <c r="J25" s="31">
        <v>170</v>
      </c>
      <c r="K25" s="33">
        <v>7231.75</v>
      </c>
      <c r="L25" s="33">
        <v>7231.07482367988</v>
      </c>
      <c r="M25" s="32">
        <f t="shared" si="2"/>
        <v>9.3362784958003903E-3</v>
      </c>
      <c r="N25" s="31">
        <v>182</v>
      </c>
      <c r="O25" s="33">
        <v>7231.75</v>
      </c>
      <c r="P25" s="33">
        <v>7231.3641603837204</v>
      </c>
      <c r="Q25" s="32">
        <f t="shared" si="3"/>
        <v>5.3353561209880636E-3</v>
      </c>
      <c r="R25" s="31">
        <v>146</v>
      </c>
      <c r="S25" s="33">
        <v>7231.75</v>
      </c>
      <c r="T25" s="33">
        <v>7231.02911177645</v>
      </c>
      <c r="U25" s="32">
        <f t="shared" si="4"/>
        <v>9.9683786573096598E-3</v>
      </c>
      <c r="V25" s="31">
        <v>92</v>
      </c>
      <c r="Z25" s="1" t="s">
        <v>86</v>
      </c>
      <c r="AP25" s="1" t="s">
        <v>86</v>
      </c>
      <c r="AQ25">
        <v>5</v>
      </c>
      <c r="AR25">
        <v>0</v>
      </c>
      <c r="AS25" s="5">
        <f>AVERAGE(U102:U106)</f>
        <v>7.5583527603219283</v>
      </c>
      <c r="AT25" s="5">
        <f>AVERAGE(W102:W106)</f>
        <v>3600</v>
      </c>
    </row>
    <row r="26" spans="1:46">
      <c r="A26" s="29"/>
      <c r="B26" s="30" t="s">
        <v>10</v>
      </c>
      <c r="C26" s="31">
        <v>7769.13</v>
      </c>
      <c r="D26" s="31">
        <v>7768.3669684414099</v>
      </c>
      <c r="E26" s="32">
        <f t="shared" si="0"/>
        <v>9.8213256643952165E-3</v>
      </c>
      <c r="F26" s="31">
        <v>688</v>
      </c>
      <c r="G26" s="33">
        <v>7769.13</v>
      </c>
      <c r="H26" s="33">
        <v>7768.3606761085302</v>
      </c>
      <c r="I26" s="32">
        <f t="shared" si="1"/>
        <v>9.9023171380819581E-3</v>
      </c>
      <c r="J26" s="31">
        <v>727</v>
      </c>
      <c r="K26" s="33">
        <v>7769.13</v>
      </c>
      <c r="L26" s="33">
        <v>7768.3585407123801</v>
      </c>
      <c r="M26" s="32">
        <f t="shared" si="2"/>
        <v>9.9298027915611983E-3</v>
      </c>
      <c r="N26" s="31">
        <v>571</v>
      </c>
      <c r="O26" s="33">
        <v>7769.13</v>
      </c>
      <c r="P26" s="33">
        <v>7768.3573074318201</v>
      </c>
      <c r="Q26" s="32">
        <f t="shared" si="3"/>
        <v>9.9456769056508413E-3</v>
      </c>
      <c r="R26" s="31">
        <v>450</v>
      </c>
      <c r="S26" s="33">
        <v>7769.13</v>
      </c>
      <c r="T26" s="33">
        <v>7769.13</v>
      </c>
      <c r="U26" s="32">
        <f t="shared" si="4"/>
        <v>0</v>
      </c>
      <c r="V26" s="31">
        <v>407</v>
      </c>
      <c r="Z26" s="1" t="s">
        <v>87</v>
      </c>
      <c r="AP26" s="1" t="s">
        <v>87</v>
      </c>
      <c r="AQ26">
        <v>5</v>
      </c>
      <c r="AR26">
        <v>0</v>
      </c>
      <c r="AS26" s="5">
        <f>AVERAGE(U107:U111)</f>
        <v>15.650890238735599</v>
      </c>
      <c r="AT26" s="5">
        <f>AVERAGE(W107:W111)</f>
        <v>3600</v>
      </c>
    </row>
    <row r="27" spans="1:46">
      <c r="A27" s="29"/>
      <c r="B27" s="30" t="s">
        <v>11</v>
      </c>
      <c r="C27" s="31">
        <v>6977.55</v>
      </c>
      <c r="D27" s="31">
        <v>6976.8976080807697</v>
      </c>
      <c r="E27" s="32">
        <f t="shared" si="0"/>
        <v>9.3498709322106972E-3</v>
      </c>
      <c r="F27" s="31">
        <v>258</v>
      </c>
      <c r="G27" s="33">
        <v>6977.55</v>
      </c>
      <c r="H27" s="33">
        <v>6976.8631924039501</v>
      </c>
      <c r="I27" s="32">
        <f t="shared" si="1"/>
        <v>9.8431053313860883E-3</v>
      </c>
      <c r="J27" s="31">
        <v>226</v>
      </c>
      <c r="K27" s="33">
        <v>6977.55</v>
      </c>
      <c r="L27" s="33">
        <v>6976.8557348039003</v>
      </c>
      <c r="M27" s="32">
        <f t="shared" si="2"/>
        <v>9.9499852541347234E-3</v>
      </c>
      <c r="N27" s="31">
        <v>269</v>
      </c>
      <c r="O27" s="33">
        <v>6977.55</v>
      </c>
      <c r="P27" s="33">
        <v>6976.8715342005198</v>
      </c>
      <c r="Q27" s="32">
        <f t="shared" si="3"/>
        <v>9.7235533888021409E-3</v>
      </c>
      <c r="R27" s="31">
        <v>218</v>
      </c>
      <c r="S27" s="33">
        <v>6977.55</v>
      </c>
      <c r="T27" s="33">
        <v>6976.8904696470399</v>
      </c>
      <c r="U27" s="32">
        <f t="shared" si="4"/>
        <v>9.4521766660252676E-3</v>
      </c>
      <c r="V27" s="31">
        <v>243</v>
      </c>
      <c r="Z27" t="s">
        <v>41</v>
      </c>
      <c r="AP27" t="s">
        <v>41</v>
      </c>
      <c r="AQ27">
        <f>SUM(AQ16:AQ26)</f>
        <v>50</v>
      </c>
      <c r="AR27">
        <f>SUM(AR16:AR26)</f>
        <v>19</v>
      </c>
      <c r="AS27" s="4">
        <f>AVERAGE(AS16:AS26)</f>
        <v>4.6949457380204809</v>
      </c>
      <c r="AT27" s="5">
        <f>AVERAGE(AT16:AT26)</f>
        <v>2532.3000000000002</v>
      </c>
    </row>
    <row r="28" spans="1:46">
      <c r="A28" s="21" t="s">
        <v>26</v>
      </c>
      <c r="B28" t="s">
        <v>7</v>
      </c>
      <c r="C28" s="1">
        <v>7105.45</v>
      </c>
      <c r="D28" s="1">
        <v>7104.7615657711003</v>
      </c>
      <c r="E28" s="3">
        <f t="shared" si="0"/>
        <v>9.6888195525898536E-3</v>
      </c>
      <c r="F28" s="1">
        <v>189</v>
      </c>
      <c r="G28" s="7">
        <v>7105.45</v>
      </c>
      <c r="H28" s="7">
        <v>7104.7748111954897</v>
      </c>
      <c r="I28" s="3">
        <f t="shared" si="1"/>
        <v>9.5024073705405193E-3</v>
      </c>
      <c r="J28" s="1">
        <v>186</v>
      </c>
      <c r="K28" s="7">
        <v>7105.45</v>
      </c>
      <c r="L28" s="7">
        <v>7105.2407817419598</v>
      </c>
      <c r="M28" s="3">
        <f t="shared" si="2"/>
        <v>2.9444758324945241E-3</v>
      </c>
      <c r="N28" s="1">
        <v>130</v>
      </c>
      <c r="O28" s="7">
        <v>7105.45</v>
      </c>
      <c r="P28" s="7">
        <v>7104.7760099204897</v>
      </c>
      <c r="Q28" s="3">
        <f t="shared" si="3"/>
        <v>9.4855368697278376E-3</v>
      </c>
      <c r="R28" s="1">
        <v>122</v>
      </c>
      <c r="S28" s="7">
        <v>7105.45</v>
      </c>
      <c r="T28" s="7">
        <v>7104.7674806433897</v>
      </c>
      <c r="U28" s="3">
        <f t="shared" si="4"/>
        <v>9.6055753908633607E-3</v>
      </c>
      <c r="V28" s="1">
        <v>69</v>
      </c>
    </row>
    <row r="29" spans="1:46">
      <c r="A29" s="21"/>
      <c r="B29" t="s">
        <v>8</v>
      </c>
      <c r="C29" s="1">
        <v>7096.92</v>
      </c>
      <c r="D29" s="1">
        <v>7096.2131925449603</v>
      </c>
      <c r="E29" s="3">
        <f t="shared" si="0"/>
        <v>9.9593549742674221E-3</v>
      </c>
      <c r="F29" s="1">
        <v>515</v>
      </c>
      <c r="G29" s="7">
        <v>7096.92</v>
      </c>
      <c r="H29" s="7">
        <v>7096.2113596629597</v>
      </c>
      <c r="I29" s="3">
        <f t="shared" si="1"/>
        <v>9.9851814172962159E-3</v>
      </c>
      <c r="J29" s="1">
        <v>392</v>
      </c>
      <c r="K29" s="7">
        <v>7096.92</v>
      </c>
      <c r="L29" s="7">
        <v>7096.2128070519602</v>
      </c>
      <c r="M29" s="3">
        <f t="shared" si="2"/>
        <v>9.9647868094870258E-3</v>
      </c>
      <c r="N29" s="1">
        <v>376</v>
      </c>
      <c r="O29" s="7">
        <v>7096.92</v>
      </c>
      <c r="P29" s="7">
        <v>7096.2162343231103</v>
      </c>
      <c r="Q29" s="3">
        <f t="shared" si="3"/>
        <v>9.9164944354708223E-3</v>
      </c>
      <c r="R29" s="1">
        <v>339</v>
      </c>
      <c r="S29" s="7">
        <v>7096.92</v>
      </c>
      <c r="T29" s="7">
        <v>7096.2147673316504</v>
      </c>
      <c r="U29" s="3">
        <f t="shared" si="4"/>
        <v>9.9371652540779457E-3</v>
      </c>
      <c r="V29" s="1">
        <v>260</v>
      </c>
    </row>
    <row r="30" spans="1:46">
      <c r="A30" s="21"/>
      <c r="B30" t="s">
        <v>9</v>
      </c>
      <c r="C30" s="1">
        <v>7284.1</v>
      </c>
      <c r="D30" s="1">
        <v>7283.3753076825296</v>
      </c>
      <c r="E30" s="3">
        <f t="shared" si="0"/>
        <v>9.9489616764010143E-3</v>
      </c>
      <c r="F30" s="1">
        <v>623</v>
      </c>
      <c r="G30" s="7">
        <v>7284.1</v>
      </c>
      <c r="H30" s="7">
        <v>7283.3824538579802</v>
      </c>
      <c r="I30" s="3">
        <f t="shared" si="1"/>
        <v>9.8508551779929263E-3</v>
      </c>
      <c r="J30" s="1">
        <v>424</v>
      </c>
      <c r="K30" s="7">
        <v>7284.1</v>
      </c>
      <c r="L30" s="7">
        <v>7283.3743537462196</v>
      </c>
      <c r="M30" s="3">
        <f t="shared" si="2"/>
        <v>9.9620578215664779E-3</v>
      </c>
      <c r="N30" s="1">
        <v>748</v>
      </c>
      <c r="O30" s="7">
        <v>7284.1</v>
      </c>
      <c r="P30" s="7">
        <v>7283.40016641273</v>
      </c>
      <c r="Q30" s="3">
        <f t="shared" si="3"/>
        <v>9.6076878031658638E-3</v>
      </c>
      <c r="R30" s="1">
        <v>573</v>
      </c>
      <c r="S30" s="7">
        <v>7284.1</v>
      </c>
      <c r="T30" s="7">
        <v>7283.40016641273</v>
      </c>
      <c r="U30" s="3">
        <f t="shared" si="4"/>
        <v>9.6076878031658638E-3</v>
      </c>
      <c r="V30" s="1">
        <v>464</v>
      </c>
    </row>
    <row r="31" spans="1:46">
      <c r="A31" s="21"/>
      <c r="B31" t="s">
        <v>10</v>
      </c>
      <c r="C31" s="1">
        <v>7041.08</v>
      </c>
      <c r="D31" s="1">
        <v>7040.4353043173796</v>
      </c>
      <c r="E31" s="3">
        <f t="shared" si="0"/>
        <v>9.1562044831232561E-3</v>
      </c>
      <c r="F31" s="1">
        <v>365</v>
      </c>
      <c r="G31" s="7">
        <v>7041.08</v>
      </c>
      <c r="H31" s="7">
        <v>7040.3850167181499</v>
      </c>
      <c r="I31" s="3">
        <f t="shared" si="1"/>
        <v>9.8704074069602948E-3</v>
      </c>
      <c r="J31" s="1">
        <v>312</v>
      </c>
      <c r="K31" s="7">
        <v>7041.08</v>
      </c>
      <c r="L31" s="7">
        <v>7040.40105225968</v>
      </c>
      <c r="M31" s="3">
        <f t="shared" si="2"/>
        <v>9.6426647661996042E-3</v>
      </c>
      <c r="N31" s="1">
        <v>435</v>
      </c>
      <c r="O31" s="7">
        <v>7041.08</v>
      </c>
      <c r="P31" s="7">
        <v>7040.3958375354696</v>
      </c>
      <c r="Q31" s="3">
        <f t="shared" si="3"/>
        <v>9.7167261915834715E-3</v>
      </c>
      <c r="R31" s="1">
        <v>379</v>
      </c>
      <c r="S31" s="7">
        <v>7041.08</v>
      </c>
      <c r="T31" s="7">
        <v>7040.3859308256497</v>
      </c>
      <c r="U31" s="3">
        <f t="shared" si="4"/>
        <v>9.8574249170618883E-3</v>
      </c>
      <c r="V31" s="1">
        <v>279</v>
      </c>
    </row>
    <row r="32" spans="1:46">
      <c r="A32" s="21"/>
      <c r="B32" t="s">
        <v>11</v>
      </c>
      <c r="C32" s="1">
        <v>6913.05</v>
      </c>
      <c r="D32" s="1">
        <v>6912.3750500310098</v>
      </c>
      <c r="E32" s="3">
        <f t="shared" si="0"/>
        <v>9.7634180136177834E-3</v>
      </c>
      <c r="F32" s="1">
        <v>1154</v>
      </c>
      <c r="G32" s="7">
        <v>6913.05</v>
      </c>
      <c r="H32" s="7">
        <v>6912.3589759689003</v>
      </c>
      <c r="I32" s="3">
        <f t="shared" si="1"/>
        <v>9.9959356738330285E-3</v>
      </c>
      <c r="J32" s="1">
        <v>875</v>
      </c>
      <c r="K32" s="7">
        <v>6913.05</v>
      </c>
      <c r="L32" s="7">
        <v>6912.3590383840601</v>
      </c>
      <c r="M32" s="3">
        <f t="shared" si="2"/>
        <v>9.9950328138819836E-3</v>
      </c>
      <c r="N32" s="1">
        <v>539</v>
      </c>
      <c r="O32" s="7">
        <v>6913.05</v>
      </c>
      <c r="P32" s="7">
        <v>6912.3766076579705</v>
      </c>
      <c r="Q32" s="3">
        <f t="shared" si="3"/>
        <v>9.7408863241221864E-3</v>
      </c>
      <c r="R32" s="1">
        <v>793</v>
      </c>
      <c r="S32" s="7">
        <v>6913.05</v>
      </c>
      <c r="T32" s="7">
        <v>6912.36216382776</v>
      </c>
      <c r="U32" s="3">
        <f t="shared" si="4"/>
        <v>9.9498220357174885E-3</v>
      </c>
      <c r="V32" s="1">
        <v>327</v>
      </c>
    </row>
    <row r="33" spans="1:22">
      <c r="A33" s="29" t="s">
        <v>33</v>
      </c>
      <c r="B33" s="30" t="s">
        <v>7</v>
      </c>
      <c r="C33" s="31">
        <v>9877.89</v>
      </c>
      <c r="D33" s="31">
        <v>9877.5300000000007</v>
      </c>
      <c r="E33" s="32">
        <f t="shared" si="0"/>
        <v>3.6445030264435335E-3</v>
      </c>
      <c r="F33" s="31">
        <v>138</v>
      </c>
      <c r="G33" s="33">
        <v>9877.89</v>
      </c>
      <c r="H33" s="33">
        <v>9877.42</v>
      </c>
      <c r="I33" s="32">
        <f t="shared" si="1"/>
        <v>4.7581011734221098E-3</v>
      </c>
      <c r="J33" s="31">
        <v>178</v>
      </c>
      <c r="K33" s="33">
        <v>9877.89</v>
      </c>
      <c r="L33" s="33">
        <v>9876.91</v>
      </c>
      <c r="M33" s="32">
        <f t="shared" si="2"/>
        <v>9.9211471275703969E-3</v>
      </c>
      <c r="N33" s="31">
        <v>147</v>
      </c>
      <c r="O33" s="33">
        <v>9877.89</v>
      </c>
      <c r="P33" s="33">
        <v>9876.9181250000001</v>
      </c>
      <c r="Q33" s="32">
        <f t="shared" si="3"/>
        <v>9.8388927189842403E-3</v>
      </c>
      <c r="R33" s="31">
        <v>181</v>
      </c>
      <c r="S33" s="33">
        <v>9877.89</v>
      </c>
      <c r="T33" s="33">
        <v>9877.89</v>
      </c>
      <c r="U33" s="32">
        <f>(S33-T33)/S33*100</f>
        <v>0</v>
      </c>
      <c r="V33" s="31">
        <v>102</v>
      </c>
    </row>
    <row r="34" spans="1:22">
      <c r="A34" s="29"/>
      <c r="B34" s="30" t="s">
        <v>8</v>
      </c>
      <c r="C34" s="31">
        <v>10068.99</v>
      </c>
      <c r="D34" s="31">
        <v>10068.450000000001</v>
      </c>
      <c r="E34" s="32">
        <f t="shared" si="0"/>
        <v>5.3630006584479088E-3</v>
      </c>
      <c r="F34" s="31">
        <v>146</v>
      </c>
      <c r="G34" s="33">
        <v>10068.99</v>
      </c>
      <c r="H34" s="33">
        <v>10068.6778487395</v>
      </c>
      <c r="I34" s="32">
        <f t="shared" si="1"/>
        <v>3.1001248436971019E-3</v>
      </c>
      <c r="J34" s="31">
        <v>123</v>
      </c>
      <c r="K34" s="33">
        <v>10068.99</v>
      </c>
      <c r="L34" s="33">
        <v>10068.99</v>
      </c>
      <c r="M34" s="32">
        <f t="shared" si="2"/>
        <v>0</v>
      </c>
      <c r="N34" s="31">
        <v>133</v>
      </c>
      <c r="O34" s="33">
        <v>10068.99</v>
      </c>
      <c r="P34" s="33">
        <v>10068.99</v>
      </c>
      <c r="Q34" s="32">
        <f t="shared" si="3"/>
        <v>0</v>
      </c>
      <c r="R34" s="31">
        <v>146</v>
      </c>
      <c r="S34" s="33">
        <v>10068.99</v>
      </c>
      <c r="T34" s="33">
        <v>10068.99</v>
      </c>
      <c r="U34" s="32">
        <f t="shared" ref="U34:U57" si="7">(S34-T34)/S34*100</f>
        <v>0</v>
      </c>
      <c r="V34" s="31">
        <v>88</v>
      </c>
    </row>
    <row r="35" spans="1:22">
      <c r="A35" s="29"/>
      <c r="B35" s="30" t="s">
        <v>9</v>
      </c>
      <c r="C35" s="31">
        <v>10983.82</v>
      </c>
      <c r="D35" s="31">
        <v>10982.76</v>
      </c>
      <c r="E35" s="32">
        <f t="shared" si="0"/>
        <v>9.6505587309286822E-3</v>
      </c>
      <c r="F35" s="31">
        <v>155</v>
      </c>
      <c r="G35" s="33">
        <v>10983.82</v>
      </c>
      <c r="H35" s="33">
        <v>10983.46</v>
      </c>
      <c r="I35" s="32">
        <f t="shared" si="1"/>
        <v>3.2775482482468037E-3</v>
      </c>
      <c r="J35" s="31">
        <v>209</v>
      </c>
      <c r="K35" s="33">
        <v>10983.82</v>
      </c>
      <c r="L35" s="33">
        <v>10982.774713869099</v>
      </c>
      <c r="M35" s="32">
        <f t="shared" si="2"/>
        <v>9.5165992423439389E-3</v>
      </c>
      <c r="N35" s="31">
        <v>226</v>
      </c>
      <c r="O35" s="33">
        <v>10983.82</v>
      </c>
      <c r="P35" s="33">
        <v>10982.8</v>
      </c>
      <c r="Q35" s="32">
        <f t="shared" si="3"/>
        <v>9.2863867033549045E-3</v>
      </c>
      <c r="R35" s="31">
        <v>233</v>
      </c>
      <c r="S35" s="33">
        <v>10983.82</v>
      </c>
      <c r="T35" s="33">
        <v>10983.82</v>
      </c>
      <c r="U35" s="32">
        <f t="shared" si="7"/>
        <v>0</v>
      </c>
      <c r="V35" s="31">
        <v>159</v>
      </c>
    </row>
    <row r="36" spans="1:22">
      <c r="A36" s="29"/>
      <c r="B36" s="30" t="s">
        <v>10</v>
      </c>
      <c r="C36" s="31">
        <v>10198.280000000001</v>
      </c>
      <c r="D36" s="31">
        <v>10198.280000000001</v>
      </c>
      <c r="E36" s="32">
        <f t="shared" si="0"/>
        <v>0</v>
      </c>
      <c r="F36" s="31">
        <v>81</v>
      </c>
      <c r="G36" s="33">
        <v>10198.280000000001</v>
      </c>
      <c r="H36" s="33">
        <v>10197.683767857099</v>
      </c>
      <c r="I36" s="32">
        <f t="shared" si="1"/>
        <v>5.8463990290666583E-3</v>
      </c>
      <c r="J36" s="31">
        <v>79</v>
      </c>
      <c r="K36" s="33">
        <v>10198.280000000001</v>
      </c>
      <c r="L36" s="33">
        <v>10197.370000000001</v>
      </c>
      <c r="M36" s="32">
        <f t="shared" si="2"/>
        <v>8.9230733025554738E-3</v>
      </c>
      <c r="N36" s="31">
        <v>97</v>
      </c>
      <c r="O36" s="33">
        <v>10198.280000000001</v>
      </c>
      <c r="P36" s="33">
        <v>10197.48</v>
      </c>
      <c r="Q36" s="32">
        <f t="shared" si="3"/>
        <v>7.8444600462145714E-3</v>
      </c>
      <c r="R36" s="31">
        <v>33</v>
      </c>
      <c r="S36" s="33">
        <v>10198.280000000001</v>
      </c>
      <c r="T36" s="33">
        <v>10197.48</v>
      </c>
      <c r="U36" s="32">
        <f t="shared" si="7"/>
        <v>7.8444600462145714E-3</v>
      </c>
      <c r="V36" s="31">
        <v>19</v>
      </c>
    </row>
    <row r="37" spans="1:22">
      <c r="A37" s="29"/>
      <c r="B37" s="30" t="s">
        <v>11</v>
      </c>
      <c r="C37" s="31">
        <v>9629.39</v>
      </c>
      <c r="D37" s="31">
        <v>9629.39</v>
      </c>
      <c r="E37" s="32">
        <f t="shared" si="0"/>
        <v>0</v>
      </c>
      <c r="F37" s="31">
        <v>22</v>
      </c>
      <c r="G37" s="33">
        <v>9629.39</v>
      </c>
      <c r="H37" s="33">
        <v>9628.75</v>
      </c>
      <c r="I37" s="32">
        <f t="shared" si="1"/>
        <v>6.6463192372457442E-3</v>
      </c>
      <c r="J37" s="31">
        <v>18</v>
      </c>
      <c r="K37" s="33">
        <v>9629.39</v>
      </c>
      <c r="L37" s="33">
        <v>9629.39</v>
      </c>
      <c r="M37" s="32">
        <f t="shared" si="2"/>
        <v>0</v>
      </c>
      <c r="N37" s="31">
        <v>32</v>
      </c>
      <c r="O37" s="33">
        <v>9629.39</v>
      </c>
      <c r="P37" s="33">
        <v>9629.39</v>
      </c>
      <c r="Q37" s="32">
        <f t="shared" si="3"/>
        <v>0</v>
      </c>
      <c r="R37" s="31">
        <v>16</v>
      </c>
      <c r="S37" s="33">
        <v>9629.39</v>
      </c>
      <c r="T37" s="33">
        <v>9629.39</v>
      </c>
      <c r="U37" s="32">
        <f t="shared" si="7"/>
        <v>0</v>
      </c>
      <c r="V37" s="31">
        <v>10</v>
      </c>
    </row>
    <row r="38" spans="1:22">
      <c r="A38" s="21" t="s">
        <v>35</v>
      </c>
      <c r="B38" t="s">
        <v>7</v>
      </c>
      <c r="C38" s="7">
        <v>9479.7800000000007</v>
      </c>
      <c r="D38" s="7">
        <v>9085.8315741710303</v>
      </c>
      <c r="E38" s="24">
        <f t="shared" si="0"/>
        <v>4.1556705517318999</v>
      </c>
      <c r="F38" s="25">
        <v>3600</v>
      </c>
      <c r="G38" s="26">
        <v>9456.34</v>
      </c>
      <c r="H38" s="26">
        <v>9152.6411990278193</v>
      </c>
      <c r="I38" s="24">
        <f t="shared" si="1"/>
        <v>3.2115892720881529</v>
      </c>
      <c r="J38" s="25">
        <v>3600</v>
      </c>
      <c r="K38" s="26">
        <v>9318.2800000000007</v>
      </c>
      <c r="L38" s="26">
        <v>9317.3700000000008</v>
      </c>
      <c r="M38" s="24">
        <f t="shared" si="2"/>
        <v>9.765750760868469E-3</v>
      </c>
      <c r="N38" s="25">
        <v>2179</v>
      </c>
      <c r="O38" s="26">
        <v>9318.2800000000007</v>
      </c>
      <c r="P38" s="26">
        <v>9272.6800423131208</v>
      </c>
      <c r="Q38" s="24">
        <f t="shared" si="3"/>
        <v>0.48936024338053652</v>
      </c>
      <c r="R38" s="25">
        <v>3600</v>
      </c>
      <c r="S38" s="26">
        <v>9318.2800000000007</v>
      </c>
      <c r="T38" s="26">
        <v>9317.39</v>
      </c>
      <c r="U38" s="24">
        <f t="shared" si="7"/>
        <v>9.5511188760290175E-3</v>
      </c>
      <c r="V38" s="1">
        <v>1751</v>
      </c>
    </row>
    <row r="39" spans="1:22">
      <c r="A39" s="21"/>
      <c r="B39" t="s">
        <v>8</v>
      </c>
      <c r="C39" s="7">
        <v>9097.7199999999993</v>
      </c>
      <c r="D39" s="7">
        <v>9096.8769634280197</v>
      </c>
      <c r="E39" s="24">
        <f t="shared" si="0"/>
        <v>9.2664598600485613E-3</v>
      </c>
      <c r="F39" s="25">
        <v>149</v>
      </c>
      <c r="G39" s="26">
        <v>9097.7199999999993</v>
      </c>
      <c r="H39" s="26">
        <v>9096.8165096208504</v>
      </c>
      <c r="I39" s="24">
        <f t="shared" si="1"/>
        <v>9.9309538999764139E-3</v>
      </c>
      <c r="J39" s="25">
        <v>363</v>
      </c>
      <c r="K39" s="26">
        <v>9097.7199999999993</v>
      </c>
      <c r="L39" s="26">
        <v>9096.8188213851809</v>
      </c>
      <c r="M39" s="24">
        <f t="shared" si="2"/>
        <v>9.9055435297908823E-3</v>
      </c>
      <c r="N39" s="25">
        <v>508</v>
      </c>
      <c r="O39" s="26">
        <v>9097.7199999999993</v>
      </c>
      <c r="P39" s="26">
        <v>9096.87071962767</v>
      </c>
      <c r="Q39" s="24">
        <f t="shared" si="3"/>
        <v>9.3350902460100291E-3</v>
      </c>
      <c r="R39" s="25">
        <v>327</v>
      </c>
      <c r="S39" s="26">
        <v>9097.7199999999993</v>
      </c>
      <c r="T39" s="26">
        <v>9096.8700000000008</v>
      </c>
      <c r="U39" s="24">
        <f t="shared" si="7"/>
        <v>9.343000224216011E-3</v>
      </c>
      <c r="V39" s="1">
        <v>236</v>
      </c>
    </row>
    <row r="40" spans="1:22">
      <c r="A40" s="21"/>
      <c r="B40" t="s">
        <v>9</v>
      </c>
      <c r="C40" s="7">
        <v>8978.52</v>
      </c>
      <c r="D40" s="7">
        <v>8977.69</v>
      </c>
      <c r="E40" s="24">
        <f t="shared" si="0"/>
        <v>9.2442852496839919E-3</v>
      </c>
      <c r="F40" s="25">
        <v>416</v>
      </c>
      <c r="G40" s="26">
        <v>8978.52</v>
      </c>
      <c r="H40" s="26">
        <v>8977.64</v>
      </c>
      <c r="I40" s="24">
        <f t="shared" si="1"/>
        <v>9.8011699032916188E-3</v>
      </c>
      <c r="J40" s="25">
        <v>307</v>
      </c>
      <c r="K40" s="26">
        <v>8978.52</v>
      </c>
      <c r="L40" s="26">
        <v>8977.6575779162995</v>
      </c>
      <c r="M40" s="24">
        <f t="shared" si="2"/>
        <v>9.6053924666977281E-3</v>
      </c>
      <c r="N40" s="25">
        <v>580</v>
      </c>
      <c r="O40" s="26">
        <v>8978.52</v>
      </c>
      <c r="P40" s="26">
        <v>8977.6685550000002</v>
      </c>
      <c r="Q40" s="24">
        <f t="shared" si="3"/>
        <v>9.4831330776145705E-3</v>
      </c>
      <c r="R40" s="25">
        <v>399</v>
      </c>
      <c r="S40" s="26">
        <v>8978.52</v>
      </c>
      <c r="T40" s="26">
        <v>8977.62763014763</v>
      </c>
      <c r="U40" s="24">
        <f t="shared" si="7"/>
        <v>9.9389415223265446E-3</v>
      </c>
      <c r="V40" s="1">
        <v>465</v>
      </c>
    </row>
    <row r="41" spans="1:22">
      <c r="A41" s="21"/>
      <c r="B41" t="s">
        <v>10</v>
      </c>
      <c r="C41" s="7">
        <v>9453.1200000000008</v>
      </c>
      <c r="D41" s="7">
        <v>9452.1949999999997</v>
      </c>
      <c r="E41" s="24">
        <f t="shared" si="0"/>
        <v>9.7851291425591902E-3</v>
      </c>
      <c r="F41" s="25">
        <v>206</v>
      </c>
      <c r="G41" s="26">
        <v>9453.1200000000008</v>
      </c>
      <c r="H41" s="26">
        <v>9452.5797882523493</v>
      </c>
      <c r="I41" s="24">
        <f t="shared" si="1"/>
        <v>5.714639691990403E-3</v>
      </c>
      <c r="J41" s="25">
        <v>160</v>
      </c>
      <c r="K41" s="26">
        <v>9453.1200000000008</v>
      </c>
      <c r="L41" s="26">
        <v>9452.5770817843895</v>
      </c>
      <c r="M41" s="24">
        <f t="shared" si="2"/>
        <v>5.7432701119977331E-3</v>
      </c>
      <c r="N41" s="25">
        <v>246</v>
      </c>
      <c r="O41" s="26">
        <v>9453.1200000000008</v>
      </c>
      <c r="P41" s="26">
        <v>9452.2410606060603</v>
      </c>
      <c r="Q41" s="24">
        <f t="shared" si="3"/>
        <v>9.2978761926276951E-3</v>
      </c>
      <c r="R41" s="25">
        <v>192</v>
      </c>
      <c r="S41" s="26">
        <v>9453.1200000000008</v>
      </c>
      <c r="T41" s="26">
        <v>9452.2284217101806</v>
      </c>
      <c r="U41" s="24">
        <f t="shared" si="7"/>
        <v>9.4315769800895899E-3</v>
      </c>
      <c r="V41" s="1">
        <v>194</v>
      </c>
    </row>
    <row r="42" spans="1:22">
      <c r="A42" s="21"/>
      <c r="B42" t="s">
        <v>11</v>
      </c>
      <c r="C42" s="7">
        <v>9370.69</v>
      </c>
      <c r="D42" s="7">
        <v>9369.8122497401891</v>
      </c>
      <c r="E42" s="24">
        <f t="shared" si="0"/>
        <v>9.366975748972212E-3</v>
      </c>
      <c r="F42" s="25">
        <v>160</v>
      </c>
      <c r="G42" s="26">
        <v>9370.69</v>
      </c>
      <c r="H42" s="26">
        <v>9369.7972163244704</v>
      </c>
      <c r="I42" s="24">
        <f t="shared" si="1"/>
        <v>9.5274059384117295E-3</v>
      </c>
      <c r="J42" s="25">
        <v>127</v>
      </c>
      <c r="K42" s="26">
        <v>9370.69</v>
      </c>
      <c r="L42" s="26">
        <v>9369.8873737845897</v>
      </c>
      <c r="M42" s="24">
        <f t="shared" si="2"/>
        <v>8.5652840442996467E-3</v>
      </c>
      <c r="N42" s="25">
        <v>179</v>
      </c>
      <c r="O42" s="26">
        <v>9370.69</v>
      </c>
      <c r="P42" s="26">
        <v>9369.88802746892</v>
      </c>
      <c r="Q42" s="24">
        <f t="shared" si="3"/>
        <v>8.558308204417572E-3</v>
      </c>
      <c r="R42" s="25">
        <v>105</v>
      </c>
      <c r="S42" s="26">
        <v>9370.69</v>
      </c>
      <c r="T42" s="26">
        <v>9369.7972163244704</v>
      </c>
      <c r="U42" s="24">
        <f t="shared" si="7"/>
        <v>9.5274059384117295E-3</v>
      </c>
      <c r="V42" s="1">
        <v>86</v>
      </c>
    </row>
    <row r="43" spans="1:22">
      <c r="A43" s="29" t="s">
        <v>37</v>
      </c>
      <c r="B43" s="30" t="s">
        <v>7</v>
      </c>
      <c r="C43" s="33">
        <v>8961.6200000000008</v>
      </c>
      <c r="D43" s="33">
        <v>8960.7242567682497</v>
      </c>
      <c r="E43" s="32">
        <f t="shared" si="0"/>
        <v>9.9953270921006691E-3</v>
      </c>
      <c r="F43" s="31">
        <v>1021</v>
      </c>
      <c r="G43" s="33">
        <v>8961.6200000000008</v>
      </c>
      <c r="H43" s="33">
        <v>8960.7300055248706</v>
      </c>
      <c r="I43" s="32">
        <f t="shared" si="1"/>
        <v>9.931178460257763E-3</v>
      </c>
      <c r="J43" s="31">
        <v>1421</v>
      </c>
      <c r="K43" s="33">
        <v>8961.6200000000008</v>
      </c>
      <c r="L43" s="33">
        <v>8960.7390672926394</v>
      </c>
      <c r="M43" s="32">
        <f t="shared" si="2"/>
        <v>9.8300609416751995E-3</v>
      </c>
      <c r="N43" s="31">
        <v>952</v>
      </c>
      <c r="O43" s="33">
        <v>8961.6200000000008</v>
      </c>
      <c r="P43" s="33">
        <v>8960.7412359550599</v>
      </c>
      <c r="Q43" s="32">
        <f t="shared" si="3"/>
        <v>9.8058614953647691E-3</v>
      </c>
      <c r="R43" s="31">
        <v>852</v>
      </c>
      <c r="S43" s="33">
        <v>8961.6200000000008</v>
      </c>
      <c r="T43" s="33">
        <v>8960.7368667914398</v>
      </c>
      <c r="U43" s="32">
        <f t="shared" si="7"/>
        <v>9.8546156672682864E-3</v>
      </c>
      <c r="V43" s="31">
        <v>596</v>
      </c>
    </row>
    <row r="44" spans="1:22">
      <c r="A44" s="29"/>
      <c r="B44" s="30" t="s">
        <v>8</v>
      </c>
      <c r="C44" s="33">
        <v>8401.5300000000007</v>
      </c>
      <c r="D44" s="33">
        <v>8400.9437653230107</v>
      </c>
      <c r="E44" s="32">
        <f t="shared" si="0"/>
        <v>6.9777133092423478E-3</v>
      </c>
      <c r="F44" s="31">
        <v>312</v>
      </c>
      <c r="G44" s="33">
        <v>8401.5300000000007</v>
      </c>
      <c r="H44" s="33">
        <v>8400.6941666666698</v>
      </c>
      <c r="I44" s="32">
        <f t="shared" si="1"/>
        <v>9.9485847617137701E-3</v>
      </c>
      <c r="J44" s="31">
        <v>341</v>
      </c>
      <c r="K44" s="33">
        <v>8401.5300000000007</v>
      </c>
      <c r="L44" s="33">
        <v>8400.7432976190503</v>
      </c>
      <c r="M44" s="32">
        <f t="shared" si="2"/>
        <v>9.3637989860224664E-3</v>
      </c>
      <c r="N44" s="31">
        <v>689</v>
      </c>
      <c r="O44" s="33">
        <v>8401.5300000000007</v>
      </c>
      <c r="P44" s="33">
        <v>8400.73</v>
      </c>
      <c r="Q44" s="32">
        <f t="shared" si="3"/>
        <v>9.5220751458495213E-3</v>
      </c>
      <c r="R44" s="31">
        <v>305</v>
      </c>
      <c r="S44" s="33">
        <v>8401.5300000000007</v>
      </c>
      <c r="T44" s="33">
        <v>8400.9005944056007</v>
      </c>
      <c r="U44" s="32">
        <f t="shared" si="7"/>
        <v>7.4915592088576838E-3</v>
      </c>
      <c r="V44" s="31">
        <v>390</v>
      </c>
    </row>
    <row r="45" spans="1:22">
      <c r="A45" s="29"/>
      <c r="B45" s="30" t="s">
        <v>9</v>
      </c>
      <c r="C45" s="33">
        <v>8353.68</v>
      </c>
      <c r="D45" s="33">
        <v>8352.8464501160106</v>
      </c>
      <c r="E45" s="32">
        <f t="shared" si="0"/>
        <v>9.9782357474752434E-3</v>
      </c>
      <c r="F45" s="31">
        <v>1617</v>
      </c>
      <c r="G45" s="33">
        <v>8353.68</v>
      </c>
      <c r="H45" s="33">
        <v>8352.8630728109692</v>
      </c>
      <c r="I45" s="32">
        <f t="shared" si="1"/>
        <v>9.7792492533954889E-3</v>
      </c>
      <c r="J45" s="31">
        <v>1236</v>
      </c>
      <c r="K45" s="33">
        <v>8353.68</v>
      </c>
      <c r="L45" s="33">
        <v>8352.8554158993102</v>
      </c>
      <c r="M45" s="32">
        <f t="shared" si="2"/>
        <v>9.8709083983360302E-3</v>
      </c>
      <c r="N45" s="31">
        <v>1229</v>
      </c>
      <c r="O45" s="33">
        <v>8353.68</v>
      </c>
      <c r="P45" s="33">
        <v>8352.8869574090895</v>
      </c>
      <c r="Q45" s="32">
        <f t="shared" si="3"/>
        <v>9.4933321711003112E-3</v>
      </c>
      <c r="R45" s="31">
        <v>1531</v>
      </c>
      <c r="S45" s="33">
        <v>8353.68</v>
      </c>
      <c r="T45" s="33">
        <v>8352.85</v>
      </c>
      <c r="U45" s="32">
        <f t="shared" si="7"/>
        <v>9.9357408950298213E-3</v>
      </c>
      <c r="V45" s="31">
        <v>869</v>
      </c>
    </row>
    <row r="46" spans="1:22">
      <c r="A46" s="29"/>
      <c r="B46" s="30" t="s">
        <v>10</v>
      </c>
      <c r="C46" s="33">
        <v>8780.7000000000007</v>
      </c>
      <c r="D46" s="33">
        <v>8779.8231451286192</v>
      </c>
      <c r="E46" s="32">
        <f t="shared" si="0"/>
        <v>9.9861613696118831E-3</v>
      </c>
      <c r="F46" s="31">
        <v>798</v>
      </c>
      <c r="G46" s="33">
        <v>8780.7000000000007</v>
      </c>
      <c r="H46" s="33">
        <v>8779.82456426098</v>
      </c>
      <c r="I46" s="32">
        <f t="shared" si="1"/>
        <v>9.9699994194171158E-3</v>
      </c>
      <c r="J46" s="31">
        <v>783</v>
      </c>
      <c r="K46" s="33">
        <v>8780.7000000000007</v>
      </c>
      <c r="L46" s="33">
        <v>8779.8610751749093</v>
      </c>
      <c r="M46" s="32">
        <f t="shared" si="2"/>
        <v>9.5541907261545572E-3</v>
      </c>
      <c r="N46" s="31">
        <v>814</v>
      </c>
      <c r="O46" s="33">
        <v>8780.7000000000007</v>
      </c>
      <c r="P46" s="33">
        <v>8779.8456849834693</v>
      </c>
      <c r="Q46" s="32">
        <f t="shared" si="3"/>
        <v>9.7294636706808414E-3</v>
      </c>
      <c r="R46" s="31">
        <v>637</v>
      </c>
      <c r="S46" s="33">
        <v>8780.7000000000007</v>
      </c>
      <c r="T46" s="33">
        <v>8779.8263840991804</v>
      </c>
      <c r="U46" s="32">
        <f t="shared" si="7"/>
        <v>9.9492739852217755E-3</v>
      </c>
      <c r="V46" s="31">
        <v>728</v>
      </c>
    </row>
    <row r="47" spans="1:22">
      <c r="A47" s="29"/>
      <c r="B47" s="30" t="s">
        <v>11</v>
      </c>
      <c r="C47" s="33">
        <v>9101.6</v>
      </c>
      <c r="D47" s="33">
        <v>9100.7763157894806</v>
      </c>
      <c r="E47" s="32">
        <f t="shared" si="0"/>
        <v>9.0498836525422614E-3</v>
      </c>
      <c r="F47" s="31">
        <v>490</v>
      </c>
      <c r="G47" s="33">
        <v>9101.6</v>
      </c>
      <c r="H47" s="33">
        <v>9100.6908218815697</v>
      </c>
      <c r="I47" s="32">
        <f t="shared" si="1"/>
        <v>9.9892119894375211E-3</v>
      </c>
      <c r="J47" s="31">
        <v>595</v>
      </c>
      <c r="K47" s="33">
        <v>9101.6</v>
      </c>
      <c r="L47" s="33">
        <v>9100.8812959903007</v>
      </c>
      <c r="M47" s="32">
        <f t="shared" si="2"/>
        <v>7.8964578722383952E-3</v>
      </c>
      <c r="N47" s="31">
        <v>614</v>
      </c>
      <c r="O47" s="33">
        <v>9101.6</v>
      </c>
      <c r="P47" s="33">
        <v>9100.7037588608691</v>
      </c>
      <c r="Q47" s="32">
        <f t="shared" si="3"/>
        <v>9.8470723733325386E-3</v>
      </c>
      <c r="R47" s="31">
        <v>975</v>
      </c>
      <c r="S47" s="33">
        <v>9101.6</v>
      </c>
      <c r="T47" s="33">
        <v>9100.6998963000497</v>
      </c>
      <c r="U47" s="32">
        <f t="shared" si="7"/>
        <v>9.8895106349510525E-3</v>
      </c>
      <c r="V47" s="31">
        <v>395</v>
      </c>
    </row>
    <row r="48" spans="1:22">
      <c r="A48" s="21" t="s">
        <v>39</v>
      </c>
      <c r="B48" t="s">
        <v>7</v>
      </c>
      <c r="C48" s="7">
        <v>8939.83</v>
      </c>
      <c r="D48" s="7">
        <v>8035.3903610673096</v>
      </c>
      <c r="E48" s="24">
        <f t="shared" si="0"/>
        <v>10.116966865507401</v>
      </c>
      <c r="F48" s="25">
        <v>3600</v>
      </c>
      <c r="G48" s="25">
        <v>8703.86</v>
      </c>
      <c r="H48" s="25">
        <v>8559.9606855286293</v>
      </c>
      <c r="I48" s="24">
        <f t="shared" si="1"/>
        <v>1.653281583933695</v>
      </c>
      <c r="J48" s="25">
        <v>3600</v>
      </c>
      <c r="K48" s="26">
        <v>8701.8799999999992</v>
      </c>
      <c r="L48" s="26">
        <v>8629.8888232558093</v>
      </c>
      <c r="M48" s="24">
        <f t="shared" si="2"/>
        <v>0.82730601598953268</v>
      </c>
      <c r="N48" s="25">
        <v>3600</v>
      </c>
      <c r="O48" s="26">
        <v>8701.8799999999992</v>
      </c>
      <c r="P48" s="26">
        <v>8701.0103981734901</v>
      </c>
      <c r="Q48" s="24">
        <f t="shared" si="3"/>
        <v>9.9932638293000718E-3</v>
      </c>
      <c r="R48" s="25">
        <v>1528</v>
      </c>
      <c r="S48" s="26">
        <v>8701.8799999999992</v>
      </c>
      <c r="T48" s="26">
        <v>8701.0103981734901</v>
      </c>
      <c r="U48" s="24">
        <f t="shared" si="7"/>
        <v>9.9932638293000718E-3</v>
      </c>
      <c r="V48" s="1">
        <v>1192</v>
      </c>
    </row>
    <row r="49" spans="1:24">
      <c r="A49" s="21"/>
      <c r="B49" t="s">
        <v>8</v>
      </c>
      <c r="C49" s="7">
        <v>8385.0300000000007</v>
      </c>
      <c r="D49" s="7">
        <v>8384.2172659410408</v>
      </c>
      <c r="E49" s="24">
        <f t="shared" si="0"/>
        <v>9.6926792028162612E-3</v>
      </c>
      <c r="F49" s="25">
        <v>632</v>
      </c>
      <c r="G49" s="25">
        <v>8385.0300000000007</v>
      </c>
      <c r="H49" s="25">
        <v>8385.0300000000007</v>
      </c>
      <c r="I49" s="24">
        <f t="shared" si="1"/>
        <v>0</v>
      </c>
      <c r="J49" s="25">
        <v>943</v>
      </c>
      <c r="K49" s="26">
        <v>8385.0300000000007</v>
      </c>
      <c r="L49" s="26">
        <v>8384.1982913039992</v>
      </c>
      <c r="M49" s="24">
        <f t="shared" si="2"/>
        <v>9.9189710233766864E-3</v>
      </c>
      <c r="N49" s="25">
        <v>542</v>
      </c>
      <c r="O49" s="26">
        <v>8385.0300000000007</v>
      </c>
      <c r="P49" s="26">
        <v>8384.1946870728098</v>
      </c>
      <c r="Q49" s="24">
        <f t="shared" si="3"/>
        <v>9.9619551413757407E-3</v>
      </c>
      <c r="R49" s="25">
        <v>739</v>
      </c>
      <c r="S49" s="26">
        <v>8385.0300000000007</v>
      </c>
      <c r="T49" s="26">
        <v>8384.2788007493291</v>
      </c>
      <c r="U49" s="24">
        <f t="shared" si="7"/>
        <v>8.9588141088530557E-3</v>
      </c>
      <c r="V49" s="1">
        <v>357</v>
      </c>
    </row>
    <row r="50" spans="1:24">
      <c r="A50" s="21"/>
      <c r="B50" t="s">
        <v>9</v>
      </c>
      <c r="C50" s="7">
        <v>8745.93</v>
      </c>
      <c r="D50" s="7">
        <v>8745.0555747087892</v>
      </c>
      <c r="E50" s="24">
        <f t="shared" si="0"/>
        <v>9.9980824361855444E-3</v>
      </c>
      <c r="F50" s="25">
        <v>2285</v>
      </c>
      <c r="G50" s="26">
        <v>8745.93</v>
      </c>
      <c r="H50" s="26">
        <v>8745.0554394700102</v>
      </c>
      <c r="I50" s="24">
        <f t="shared" si="1"/>
        <v>9.9996287414837407E-3</v>
      </c>
      <c r="J50" s="25">
        <v>2587</v>
      </c>
      <c r="K50" s="27">
        <v>8745.93</v>
      </c>
      <c r="L50" s="27">
        <v>8745.0586791173791</v>
      </c>
      <c r="M50" s="24">
        <f t="shared" si="2"/>
        <v>9.9625869704096474E-3</v>
      </c>
      <c r="N50" s="25">
        <v>2286</v>
      </c>
      <c r="O50" s="27">
        <v>8745.93</v>
      </c>
      <c r="P50" s="27">
        <v>8745.0563895526393</v>
      </c>
      <c r="Q50" s="24">
        <f t="shared" si="3"/>
        <v>9.9887656013824544E-3</v>
      </c>
      <c r="R50" s="26">
        <v>2515</v>
      </c>
      <c r="S50" s="27">
        <v>8745.93</v>
      </c>
      <c r="T50" s="27">
        <v>8745.3444855162306</v>
      </c>
      <c r="U50" s="24">
        <f t="shared" si="7"/>
        <v>6.6947080958761054E-3</v>
      </c>
      <c r="V50" s="1">
        <v>1733</v>
      </c>
    </row>
    <row r="51" spans="1:24">
      <c r="A51" s="21"/>
      <c r="B51" t="s">
        <v>10</v>
      </c>
      <c r="C51" s="7">
        <v>8663.5</v>
      </c>
      <c r="D51" s="7">
        <v>8662.6368524759</v>
      </c>
      <c r="E51" s="24">
        <f t="shared" si="0"/>
        <v>9.9630348485021791E-3</v>
      </c>
      <c r="F51" s="25">
        <v>1514</v>
      </c>
      <c r="G51" s="26">
        <v>8663.5</v>
      </c>
      <c r="H51" s="26">
        <v>8662.6362843688003</v>
      </c>
      <c r="I51" s="24">
        <f t="shared" si="1"/>
        <v>9.969592326423948E-3</v>
      </c>
      <c r="J51" s="25">
        <v>1203</v>
      </c>
      <c r="K51" s="27">
        <v>8663.5</v>
      </c>
      <c r="L51" s="27">
        <v>8662.6357500614304</v>
      </c>
      <c r="M51" s="24">
        <f t="shared" si="2"/>
        <v>9.9757596649117358E-3</v>
      </c>
      <c r="N51" s="25">
        <v>773</v>
      </c>
      <c r="O51" s="27">
        <v>8663.5</v>
      </c>
      <c r="P51" s="27">
        <v>8662.6378176772905</v>
      </c>
      <c r="Q51" s="24">
        <f t="shared" si="3"/>
        <v>9.9518938386274191E-3</v>
      </c>
      <c r="R51" s="26">
        <v>866</v>
      </c>
      <c r="S51" s="27">
        <v>8663.5</v>
      </c>
      <c r="T51" s="27">
        <v>8662.6350986506295</v>
      </c>
      <c r="U51" s="24">
        <f t="shared" si="7"/>
        <v>9.9832786907195041E-3</v>
      </c>
      <c r="V51" s="1">
        <v>718</v>
      </c>
    </row>
    <row r="52" spans="1:24">
      <c r="A52" s="21"/>
      <c r="B52" t="s">
        <v>11</v>
      </c>
      <c r="C52" s="8">
        <v>8738.06</v>
      </c>
      <c r="D52" s="8">
        <v>8737.3593692662907</v>
      </c>
      <c r="E52" s="24">
        <f t="shared" si="0"/>
        <v>8.0181497232652242E-3</v>
      </c>
      <c r="F52" s="25">
        <v>513</v>
      </c>
      <c r="G52" s="26">
        <v>8738.06</v>
      </c>
      <c r="H52" s="26">
        <v>8737.2083490472905</v>
      </c>
      <c r="I52" s="24">
        <f t="shared" si="1"/>
        <v>9.7464534771900292E-3</v>
      </c>
      <c r="J52" s="25">
        <v>1074</v>
      </c>
      <c r="K52" s="27">
        <v>8738.06</v>
      </c>
      <c r="L52" s="27">
        <v>8737.1903558826907</v>
      </c>
      <c r="M52" s="24">
        <f t="shared" si="2"/>
        <v>9.952370632712303E-3</v>
      </c>
      <c r="N52" s="25">
        <v>662</v>
      </c>
      <c r="O52" s="27">
        <v>8738.06</v>
      </c>
      <c r="P52" s="27">
        <v>8737.4869873063508</v>
      </c>
      <c r="Q52" s="24">
        <f t="shared" si="3"/>
        <v>6.5576649010044208E-3</v>
      </c>
      <c r="R52" s="26">
        <v>300</v>
      </c>
      <c r="S52" s="27">
        <v>8738.06</v>
      </c>
      <c r="T52" s="27">
        <v>8737.4827746259907</v>
      </c>
      <c r="U52" s="24">
        <f t="shared" si="7"/>
        <v>6.6058756063562879E-3</v>
      </c>
      <c r="V52" s="1">
        <v>1528</v>
      </c>
    </row>
    <row r="53" spans="1:24">
      <c r="A53" s="29" t="s">
        <v>4</v>
      </c>
      <c r="B53" s="30" t="s">
        <v>7</v>
      </c>
      <c r="C53" s="34">
        <v>8319.26</v>
      </c>
      <c r="D53" s="34">
        <v>8318.4364779693406</v>
      </c>
      <c r="E53" s="32">
        <f t="shared" si="0"/>
        <v>9.8989817683262718E-3</v>
      </c>
      <c r="F53" s="31">
        <v>1053</v>
      </c>
      <c r="G53" s="33">
        <v>8319.26</v>
      </c>
      <c r="H53" s="33">
        <v>8318.4287317467897</v>
      </c>
      <c r="I53" s="32">
        <f t="shared" si="1"/>
        <v>9.9920936863436179E-3</v>
      </c>
      <c r="J53" s="31">
        <v>392</v>
      </c>
      <c r="K53" s="34">
        <v>8319.26</v>
      </c>
      <c r="L53" s="34">
        <v>8318.4296814090594</v>
      </c>
      <c r="M53" s="32">
        <f t="shared" si="2"/>
        <v>9.980678461074732E-3</v>
      </c>
      <c r="N53" s="31">
        <v>2283</v>
      </c>
      <c r="O53" s="34">
        <v>8319.26</v>
      </c>
      <c r="P53" s="34">
        <v>8318.45436905315</v>
      </c>
      <c r="Q53" s="32">
        <f t="shared" si="3"/>
        <v>9.6839255757148468E-3</v>
      </c>
      <c r="R53" s="33">
        <v>367</v>
      </c>
      <c r="S53" s="34">
        <v>8319.26</v>
      </c>
      <c r="T53" s="34">
        <v>8318.4307692021703</v>
      </c>
      <c r="U53" s="32">
        <f t="shared" si="7"/>
        <v>9.9676028616721979E-3</v>
      </c>
      <c r="V53" s="31">
        <v>700</v>
      </c>
    </row>
    <row r="54" spans="1:24">
      <c r="A54" s="29"/>
      <c r="B54" s="30" t="s">
        <v>8</v>
      </c>
      <c r="C54" s="34">
        <v>8502.84</v>
      </c>
      <c r="D54" s="34">
        <v>8502.0154006925495</v>
      </c>
      <c r="E54" s="32">
        <f t="shared" si="0"/>
        <v>9.6979280740390975E-3</v>
      </c>
      <c r="F54" s="31">
        <v>1550</v>
      </c>
      <c r="G54" s="33">
        <v>8502.84</v>
      </c>
      <c r="H54" s="33">
        <v>8501.9911332649808</v>
      </c>
      <c r="I54" s="32">
        <f t="shared" si="1"/>
        <v>9.9833318634635973E-3</v>
      </c>
      <c r="J54" s="31">
        <v>874</v>
      </c>
      <c r="K54" s="34">
        <v>8502.84</v>
      </c>
      <c r="L54" s="34">
        <v>8502.7405972610904</v>
      </c>
      <c r="M54" s="32">
        <f t="shared" si="2"/>
        <v>1.1690533858064217E-3</v>
      </c>
      <c r="N54" s="31">
        <v>1332</v>
      </c>
      <c r="O54" s="34">
        <v>8502.84</v>
      </c>
      <c r="P54" s="34">
        <v>8501.9984720903503</v>
      </c>
      <c r="Q54" s="32">
        <f t="shared" si="3"/>
        <v>9.8970215792583711E-3</v>
      </c>
      <c r="R54" s="33">
        <v>902</v>
      </c>
      <c r="S54" s="34">
        <v>8502.84</v>
      </c>
      <c r="T54" s="34">
        <v>8502.0015081233596</v>
      </c>
      <c r="U54" s="32">
        <f t="shared" si="7"/>
        <v>9.8613154738951478E-3</v>
      </c>
      <c r="V54" s="31">
        <v>769</v>
      </c>
    </row>
    <row r="55" spans="1:24">
      <c r="A55" s="29"/>
      <c r="B55" s="30" t="s">
        <v>9</v>
      </c>
      <c r="C55" s="34">
        <v>9320.02</v>
      </c>
      <c r="D55" s="34">
        <v>9046.63604549314</v>
      </c>
      <c r="E55" s="32">
        <f t="shared" si="0"/>
        <v>2.9332979382754583</v>
      </c>
      <c r="F55" s="31">
        <v>3629</v>
      </c>
      <c r="G55" s="33">
        <v>9305.74</v>
      </c>
      <c r="H55" s="33">
        <v>9043.7018632943491</v>
      </c>
      <c r="I55" s="32">
        <f t="shared" si="1"/>
        <v>2.8158764021523348</v>
      </c>
      <c r="J55" s="31">
        <v>3600</v>
      </c>
      <c r="K55" s="34">
        <v>9216.4500000000007</v>
      </c>
      <c r="L55" s="34">
        <v>9164.2076803770997</v>
      </c>
      <c r="M55" s="32">
        <f t="shared" si="2"/>
        <v>0.56683776967163113</v>
      </c>
      <c r="N55" s="31">
        <v>3600</v>
      </c>
      <c r="O55" s="34">
        <v>9216.4500000000007</v>
      </c>
      <c r="P55" s="34">
        <v>9215.5316603629199</v>
      </c>
      <c r="Q55" s="32">
        <f t="shared" si="3"/>
        <v>9.9641362680952233E-3</v>
      </c>
      <c r="R55" s="33">
        <v>1977</v>
      </c>
      <c r="S55" s="34">
        <v>9216.4500000000007</v>
      </c>
      <c r="T55" s="34">
        <v>9215.5337559528707</v>
      </c>
      <c r="U55" s="32">
        <f t="shared" si="7"/>
        <v>9.941398772087098E-3</v>
      </c>
      <c r="V55" s="31">
        <v>1067</v>
      </c>
    </row>
    <row r="56" spans="1:24">
      <c r="A56" s="29"/>
      <c r="B56" s="30" t="s">
        <v>10</v>
      </c>
      <c r="C56" s="34">
        <v>8164.53</v>
      </c>
      <c r="D56" s="34">
        <v>7733.4650000000001</v>
      </c>
      <c r="E56" s="32">
        <f t="shared" si="0"/>
        <v>5.2797282880949616</v>
      </c>
      <c r="F56" s="31">
        <v>3607</v>
      </c>
      <c r="G56" s="33">
        <v>8164.53</v>
      </c>
      <c r="H56" s="33">
        <v>8163.7161614892202</v>
      </c>
      <c r="I56" s="32">
        <f t="shared" si="1"/>
        <v>9.9679774681400279E-3</v>
      </c>
      <c r="J56" s="31">
        <v>3042</v>
      </c>
      <c r="K56" s="34">
        <v>8164.53</v>
      </c>
      <c r="L56" s="34">
        <v>8163.7138371205401</v>
      </c>
      <c r="M56" s="32">
        <f t="shared" si="2"/>
        <v>9.9964465738949498E-3</v>
      </c>
      <c r="N56" s="31">
        <v>753</v>
      </c>
      <c r="O56" s="34">
        <v>8164.53</v>
      </c>
      <c r="P56" s="34">
        <v>8163.7191041010401</v>
      </c>
      <c r="Q56" s="32">
        <f t="shared" si="3"/>
        <v>9.9319360570619877E-3</v>
      </c>
      <c r="R56" s="33">
        <v>628</v>
      </c>
      <c r="S56" s="34">
        <v>8164.53</v>
      </c>
      <c r="T56" s="34">
        <v>8163.7201492785898</v>
      </c>
      <c r="U56" s="32">
        <f t="shared" si="7"/>
        <v>9.9191346153413608E-3</v>
      </c>
      <c r="V56" s="31">
        <v>518</v>
      </c>
    </row>
    <row r="57" spans="1:24">
      <c r="A57" s="29"/>
      <c r="B57" s="30" t="s">
        <v>11</v>
      </c>
      <c r="C57" s="34">
        <v>8302.33</v>
      </c>
      <c r="D57" s="34">
        <v>8301.5002232142906</v>
      </c>
      <c r="E57" s="32">
        <f t="shared" si="0"/>
        <v>9.9945049848575961E-3</v>
      </c>
      <c r="F57" s="31">
        <v>1185</v>
      </c>
      <c r="G57" s="33">
        <v>8302.33</v>
      </c>
      <c r="H57" s="33">
        <v>8301.5000059405302</v>
      </c>
      <c r="I57" s="32">
        <f t="shared" si="1"/>
        <v>9.9971220063494771E-3</v>
      </c>
      <c r="J57" s="31">
        <v>2027</v>
      </c>
      <c r="K57" s="34">
        <v>8302.33</v>
      </c>
      <c r="L57" s="34">
        <v>8301.51</v>
      </c>
      <c r="M57" s="32">
        <f t="shared" si="2"/>
        <v>9.8767454437454182E-3</v>
      </c>
      <c r="N57" s="31">
        <v>924</v>
      </c>
      <c r="O57" s="34">
        <v>8302.33</v>
      </c>
      <c r="P57" s="34">
        <v>8301.5049417481005</v>
      </c>
      <c r="Q57" s="32">
        <f t="shared" si="3"/>
        <v>9.9376711344822885E-3</v>
      </c>
      <c r="R57" s="33">
        <v>528</v>
      </c>
      <c r="S57" s="34">
        <v>8302.33</v>
      </c>
      <c r="T57" s="34">
        <v>8301.5094223575197</v>
      </c>
      <c r="U57" s="32">
        <f t="shared" si="7"/>
        <v>9.8837030385470395E-3</v>
      </c>
      <c r="V57" s="31">
        <v>527</v>
      </c>
    </row>
    <row r="59" spans="1:24">
      <c r="B59" s="28"/>
      <c r="C59" s="28"/>
    </row>
    <row r="60" spans="1:24">
      <c r="B60" s="28"/>
      <c r="C60" s="28"/>
    </row>
    <row r="61" spans="1:24">
      <c r="A61" s="20" t="s">
        <v>95</v>
      </c>
      <c r="B61" s="20"/>
      <c r="C61" s="20"/>
    </row>
    <row r="62" spans="1:24">
      <c r="A62" s="22" t="s">
        <v>78</v>
      </c>
      <c r="B62" s="13" t="s">
        <v>7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4">
        <v>10398.629999999999</v>
      </c>
      <c r="T62" s="14">
        <v>9793.4796015424199</v>
      </c>
      <c r="U62" s="15">
        <v>5.8195204412271195</v>
      </c>
      <c r="V62" s="14">
        <v>3499</v>
      </c>
      <c r="W62" s="14">
        <v>3499</v>
      </c>
      <c r="X62" s="14"/>
    </row>
    <row r="63" spans="1:24">
      <c r="A63" s="22"/>
      <c r="B63" s="13" t="s">
        <v>8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4">
        <v>11041.64</v>
      </c>
      <c r="T63" s="14">
        <v>10974.902471065599</v>
      </c>
      <c r="U63" s="15">
        <v>0.60441681611069398</v>
      </c>
      <c r="V63" s="14">
        <v>3600</v>
      </c>
      <c r="W63" s="14">
        <v>3600</v>
      </c>
    </row>
    <row r="64" spans="1:24">
      <c r="A64" s="22"/>
      <c r="B64" s="13" t="s">
        <v>9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4">
        <v>11247.27</v>
      </c>
      <c r="T64" s="14">
        <v>11246.202423352001</v>
      </c>
      <c r="U64" s="15">
        <v>9.4918735656002399E-3</v>
      </c>
      <c r="V64" s="14">
        <v>312</v>
      </c>
      <c r="W64" s="14">
        <v>312</v>
      </c>
    </row>
    <row r="65" spans="1:24">
      <c r="A65" s="22"/>
      <c r="B65" s="13" t="s">
        <v>10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4">
        <v>10736.92</v>
      </c>
      <c r="T65" s="14">
        <v>10735.8947854788</v>
      </c>
      <c r="U65" s="15">
        <v>9.5484973457581491E-3</v>
      </c>
      <c r="V65" s="14">
        <v>648</v>
      </c>
      <c r="W65" s="14">
        <v>648</v>
      </c>
    </row>
    <row r="66" spans="1:24">
      <c r="A66" s="22"/>
      <c r="B66" s="13" t="s">
        <v>11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4">
        <v>11507.73</v>
      </c>
      <c r="T66" s="14">
        <v>11037.860214045701</v>
      </c>
      <c r="U66" s="15">
        <v>4.0830796860399099</v>
      </c>
      <c r="V66" s="14">
        <v>1354</v>
      </c>
      <c r="W66" s="14">
        <v>1354</v>
      </c>
      <c r="X66" s="14"/>
    </row>
    <row r="67" spans="1:24">
      <c r="A67" s="21" t="s">
        <v>79</v>
      </c>
      <c r="B67" t="s">
        <v>7</v>
      </c>
      <c r="S67" s="1">
        <v>10935.38</v>
      </c>
      <c r="T67" s="1">
        <v>10935.38</v>
      </c>
      <c r="U67" s="4">
        <v>0</v>
      </c>
      <c r="V67" s="1">
        <v>795</v>
      </c>
      <c r="W67" s="1">
        <v>795</v>
      </c>
    </row>
    <row r="68" spans="1:24">
      <c r="A68" s="21"/>
      <c r="B68" t="s">
        <v>8</v>
      </c>
      <c r="S68" s="1">
        <v>10162.42</v>
      </c>
      <c r="T68" s="1">
        <v>9894.2637419794391</v>
      </c>
      <c r="U68" s="4">
        <v>2.6387047378533701</v>
      </c>
      <c r="V68" s="1">
        <v>3600</v>
      </c>
      <c r="W68" s="1">
        <v>3600</v>
      </c>
    </row>
    <row r="69" spans="1:24">
      <c r="A69" s="21"/>
      <c r="B69" t="s">
        <v>9</v>
      </c>
      <c r="S69" s="1">
        <v>9822.1</v>
      </c>
      <c r="T69" s="1">
        <v>9554.6780551143293</v>
      </c>
      <c r="U69" s="4">
        <v>2.7226554900242199</v>
      </c>
      <c r="V69" s="1">
        <v>3601</v>
      </c>
      <c r="W69" s="1">
        <v>3600</v>
      </c>
    </row>
    <row r="70" spans="1:24">
      <c r="A70" s="21"/>
      <c r="B70" t="s">
        <v>10</v>
      </c>
      <c r="S70" s="1">
        <v>9864.58</v>
      </c>
      <c r="T70" s="1">
        <v>9303.8916220169394</v>
      </c>
      <c r="U70" s="4">
        <v>5.6838545379839598</v>
      </c>
      <c r="V70" s="1">
        <v>3600</v>
      </c>
      <c r="W70" s="1">
        <v>3600</v>
      </c>
    </row>
    <row r="71" spans="1:24">
      <c r="A71" s="21"/>
      <c r="B71" t="s">
        <v>11</v>
      </c>
      <c r="S71" s="1">
        <v>10881.82</v>
      </c>
      <c r="T71" s="1">
        <v>10880.739405022799</v>
      </c>
      <c r="U71" s="4">
        <v>9.9302779975161404E-3</v>
      </c>
      <c r="V71" s="1">
        <v>1849</v>
      </c>
      <c r="W71" s="1">
        <v>1849</v>
      </c>
    </row>
    <row r="72" spans="1:24">
      <c r="A72" s="22" t="s">
        <v>80</v>
      </c>
      <c r="B72" s="13" t="s">
        <v>7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4">
        <v>10038.58</v>
      </c>
      <c r="T72" s="14">
        <v>10037.594476726499</v>
      </c>
      <c r="U72" s="15">
        <v>9.8173573698385405E-3</v>
      </c>
      <c r="V72" s="14">
        <v>1111</v>
      </c>
      <c r="W72" s="14">
        <v>1111</v>
      </c>
    </row>
    <row r="73" spans="1:24">
      <c r="A73" s="22"/>
      <c r="B73" s="13" t="s">
        <v>8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4">
        <v>10698.96</v>
      </c>
      <c r="T73" s="14">
        <v>10229.3994598668</v>
      </c>
      <c r="U73" s="15">
        <v>4.3888428420445997</v>
      </c>
      <c r="V73" s="14">
        <v>3603</v>
      </c>
      <c r="W73" s="14">
        <v>3603</v>
      </c>
    </row>
    <row r="74" spans="1:24">
      <c r="A74" s="22"/>
      <c r="B74" s="13" t="s">
        <v>9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4">
        <v>10018.83</v>
      </c>
      <c r="T74" s="14">
        <v>9519.0199528634603</v>
      </c>
      <c r="U74" s="15">
        <v>4.9887067365803297</v>
      </c>
      <c r="V74" s="14">
        <v>3604</v>
      </c>
      <c r="W74" s="14">
        <v>3604</v>
      </c>
    </row>
    <row r="75" spans="1:24">
      <c r="A75" s="22"/>
      <c r="B75" s="13" t="s">
        <v>10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4">
        <v>10342.34</v>
      </c>
      <c r="T75" s="14">
        <v>9995.7900000000009</v>
      </c>
      <c r="U75" s="15">
        <v>3.35078908641563</v>
      </c>
      <c r="V75" s="14">
        <v>3600</v>
      </c>
      <c r="W75" s="14">
        <v>3600</v>
      </c>
    </row>
    <row r="76" spans="1:24">
      <c r="A76" s="22"/>
      <c r="B76" s="13" t="s">
        <v>11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4">
        <v>9862.24</v>
      </c>
      <c r="T76" s="14">
        <v>9861.2632009014997</v>
      </c>
      <c r="U76" s="15">
        <v>9.9044344743009112E-3</v>
      </c>
      <c r="V76" s="14">
        <v>661</v>
      </c>
      <c r="W76" s="14">
        <v>661</v>
      </c>
    </row>
    <row r="77" spans="1:24">
      <c r="A77" s="21" t="s">
        <v>81</v>
      </c>
      <c r="B77" t="s">
        <v>7</v>
      </c>
      <c r="S77" s="1">
        <v>10115.549999999999</v>
      </c>
      <c r="T77" s="1">
        <v>9024.9451263902392</v>
      </c>
      <c r="U77" s="4">
        <v>10.7814688633811</v>
      </c>
      <c r="V77" s="1">
        <v>3604</v>
      </c>
      <c r="W77" s="1">
        <v>3600</v>
      </c>
    </row>
    <row r="78" spans="1:24">
      <c r="A78" s="21"/>
      <c r="B78" t="s">
        <v>8</v>
      </c>
      <c r="S78" s="1">
        <v>10396.43</v>
      </c>
      <c r="T78" s="1">
        <v>8453.5462836537899</v>
      </c>
      <c r="U78" s="4">
        <v>18.687989207316299</v>
      </c>
      <c r="V78" s="1">
        <v>3601</v>
      </c>
      <c r="W78" s="1">
        <v>3600</v>
      </c>
    </row>
    <row r="79" spans="1:24">
      <c r="A79" s="21"/>
      <c r="B79" t="s">
        <v>9</v>
      </c>
      <c r="S79" s="1">
        <v>10013.9</v>
      </c>
      <c r="T79" s="1">
        <v>9204.6704444444404</v>
      </c>
      <c r="U79" s="4">
        <v>8.0810628781548193</v>
      </c>
      <c r="V79" s="1">
        <v>3600</v>
      </c>
      <c r="W79" s="1">
        <v>3600</v>
      </c>
    </row>
    <row r="80" spans="1:24">
      <c r="A80" s="21"/>
      <c r="B80" t="s">
        <v>10</v>
      </c>
      <c r="S80" s="1">
        <v>9750.66</v>
      </c>
      <c r="T80" s="1">
        <v>9149.0101419386101</v>
      </c>
      <c r="U80" s="4">
        <v>6.1703500897517101</v>
      </c>
      <c r="V80" s="1">
        <v>3600</v>
      </c>
      <c r="W80" s="1">
        <v>3600</v>
      </c>
    </row>
    <row r="81" spans="1:23">
      <c r="A81" s="21"/>
      <c r="B81" t="s">
        <v>11</v>
      </c>
      <c r="S81" s="1">
        <v>9859.89</v>
      </c>
      <c r="T81" s="1">
        <v>9218.65316016012</v>
      </c>
      <c r="U81" s="4">
        <v>6.5034887796909802</v>
      </c>
      <c r="V81" s="1">
        <v>3767</v>
      </c>
      <c r="W81" s="1">
        <v>3600</v>
      </c>
    </row>
    <row r="82" spans="1:23">
      <c r="A82" s="22" t="s">
        <v>82</v>
      </c>
      <c r="B82" s="13" t="s">
        <v>7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4">
        <v>13283.5</v>
      </c>
      <c r="T82" s="14">
        <v>13282.30461012</v>
      </c>
      <c r="U82" s="15">
        <v>8.9990580799163399E-3</v>
      </c>
      <c r="V82" s="14">
        <v>443</v>
      </c>
      <c r="W82" s="14">
        <v>443</v>
      </c>
    </row>
    <row r="83" spans="1:23">
      <c r="A83" s="22"/>
      <c r="B83" s="13" t="s">
        <v>8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4">
        <v>13464.72</v>
      </c>
      <c r="T83" s="14">
        <v>13463.477429672001</v>
      </c>
      <c r="U83" s="15">
        <v>9.2283413839517291E-3</v>
      </c>
      <c r="V83" s="14">
        <v>356</v>
      </c>
      <c r="W83" s="14">
        <v>356</v>
      </c>
    </row>
    <row r="84" spans="1:23">
      <c r="A84" s="22"/>
      <c r="B84" s="13" t="s">
        <v>9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4">
        <v>13374.11</v>
      </c>
      <c r="T84" s="14">
        <v>13372.8542227993</v>
      </c>
      <c r="U84" s="15">
        <v>9.3896132206475798E-3</v>
      </c>
      <c r="V84" s="14">
        <v>1385</v>
      </c>
      <c r="W84" s="14">
        <v>1385</v>
      </c>
    </row>
    <row r="85" spans="1:23">
      <c r="A85" s="22"/>
      <c r="B85" s="13" t="s">
        <v>10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4">
        <v>13391.33</v>
      </c>
      <c r="T85" s="14">
        <v>13390.0452066829</v>
      </c>
      <c r="U85" s="15">
        <v>9.5942174310450802E-3</v>
      </c>
      <c r="V85" s="14">
        <v>936</v>
      </c>
      <c r="W85" s="14">
        <v>936</v>
      </c>
    </row>
    <row r="86" spans="1:23">
      <c r="A86" s="22"/>
      <c r="B86" s="13" t="s">
        <v>11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4">
        <v>14051.9</v>
      </c>
      <c r="T86" s="14">
        <v>14050.5458856729</v>
      </c>
      <c r="U86" s="15">
        <v>9.6365212330101306E-3</v>
      </c>
      <c r="V86" s="14">
        <v>523</v>
      </c>
      <c r="W86" s="14">
        <v>523</v>
      </c>
    </row>
    <row r="87" spans="1:23">
      <c r="A87" s="21" t="s">
        <v>83</v>
      </c>
      <c r="B87" t="s">
        <v>7</v>
      </c>
      <c r="S87" s="1">
        <v>13516.9</v>
      </c>
      <c r="T87" s="1">
        <v>13515.584624737299</v>
      </c>
      <c r="U87" s="4">
        <v>9.7313382703162095E-3</v>
      </c>
      <c r="V87" s="1">
        <v>1849</v>
      </c>
      <c r="W87" s="1">
        <v>1849</v>
      </c>
    </row>
    <row r="88" spans="1:23">
      <c r="A88" s="21"/>
      <c r="B88" t="s">
        <v>8</v>
      </c>
      <c r="S88" s="1">
        <v>12539.71</v>
      </c>
      <c r="T88" s="1">
        <v>12538.4587599898</v>
      </c>
      <c r="U88" s="4">
        <v>9.9782212683367892E-3</v>
      </c>
      <c r="V88" s="1">
        <v>643</v>
      </c>
      <c r="W88" s="1">
        <v>643</v>
      </c>
    </row>
    <row r="89" spans="1:23">
      <c r="A89" s="21"/>
      <c r="B89" t="s">
        <v>9</v>
      </c>
      <c r="S89" s="1">
        <v>12539.71</v>
      </c>
      <c r="T89" s="1">
        <v>12538.4587599898</v>
      </c>
      <c r="U89" s="4">
        <v>9.9782212683367892E-3</v>
      </c>
      <c r="V89" s="1">
        <v>984</v>
      </c>
      <c r="W89" s="1">
        <v>984</v>
      </c>
    </row>
    <row r="90" spans="1:23">
      <c r="A90" s="21"/>
      <c r="B90" t="s">
        <v>10</v>
      </c>
      <c r="S90" s="1">
        <v>12032.36</v>
      </c>
      <c r="T90" s="1">
        <v>12031.157292706201</v>
      </c>
      <c r="U90" s="4">
        <v>9.9956059641430305E-3</v>
      </c>
      <c r="V90" s="1">
        <v>1249</v>
      </c>
      <c r="W90" s="1">
        <v>1249</v>
      </c>
    </row>
    <row r="91" spans="1:23">
      <c r="A91" s="21"/>
      <c r="B91" t="s">
        <v>11</v>
      </c>
      <c r="S91" s="1">
        <v>13222.69</v>
      </c>
      <c r="T91" s="1">
        <v>13221.368401964401</v>
      </c>
      <c r="U91" s="4">
        <v>9.9949256586963197E-3</v>
      </c>
      <c r="V91" s="1">
        <v>1224</v>
      </c>
      <c r="W91" s="1">
        <v>1224</v>
      </c>
    </row>
    <row r="92" spans="1:23">
      <c r="A92" s="22" t="s">
        <v>84</v>
      </c>
      <c r="B92" s="13" t="s">
        <v>7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4">
        <v>12469.44</v>
      </c>
      <c r="T92" s="14">
        <v>12468.1977249961</v>
      </c>
      <c r="U92" s="15">
        <v>9.9625564889729203E-3</v>
      </c>
      <c r="V92" s="14">
        <v>677</v>
      </c>
      <c r="W92" s="14">
        <v>677</v>
      </c>
    </row>
    <row r="93" spans="1:23">
      <c r="A93" s="22"/>
      <c r="B93" s="13" t="s">
        <v>8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4">
        <v>12539.26</v>
      </c>
      <c r="T93" s="14">
        <v>12538.0071395101</v>
      </c>
      <c r="U93" s="15">
        <v>9.9915026078514803E-3</v>
      </c>
      <c r="V93" s="14">
        <v>2082</v>
      </c>
      <c r="W93" s="14">
        <v>2082</v>
      </c>
    </row>
    <row r="94" spans="1:23">
      <c r="A94" s="22"/>
      <c r="B94" s="13" t="s">
        <v>9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4">
        <v>12179.57</v>
      </c>
      <c r="T94" s="14">
        <v>12178.3553986811</v>
      </c>
      <c r="U94" s="15">
        <v>9.9724482793830099E-3</v>
      </c>
      <c r="V94" s="14">
        <v>2452</v>
      </c>
      <c r="W94" s="14">
        <v>2452</v>
      </c>
    </row>
    <row r="95" spans="1:23">
      <c r="A95" s="22"/>
      <c r="B95" s="13" t="s">
        <v>10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4">
        <v>12693.33</v>
      </c>
      <c r="T95" s="14">
        <v>12580.819393431701</v>
      </c>
      <c r="U95" s="15">
        <v>0.886375809723005</v>
      </c>
      <c r="V95" s="14">
        <v>3647</v>
      </c>
      <c r="W95" s="14">
        <v>3600</v>
      </c>
    </row>
    <row r="96" spans="1:23">
      <c r="A96" s="22"/>
      <c r="B96" s="13" t="s">
        <v>11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4">
        <v>11972.01</v>
      </c>
      <c r="T96" s="14">
        <v>11970.8149730431</v>
      </c>
      <c r="U96" s="15">
        <v>9.9818406176093808E-3</v>
      </c>
      <c r="V96" s="14">
        <v>776</v>
      </c>
      <c r="W96" s="14">
        <v>776</v>
      </c>
    </row>
    <row r="97" spans="1:23">
      <c r="A97" s="21" t="s">
        <v>85</v>
      </c>
      <c r="B97" t="s">
        <v>7</v>
      </c>
      <c r="S97" s="1">
        <v>11824.79</v>
      </c>
      <c r="T97" s="1">
        <v>11341.292345596899</v>
      </c>
      <c r="U97" s="4">
        <v>4.0888477038750999</v>
      </c>
      <c r="V97" s="1">
        <v>3610</v>
      </c>
      <c r="W97" s="1">
        <v>3600</v>
      </c>
    </row>
    <row r="98" spans="1:23">
      <c r="A98" s="21"/>
      <c r="B98" t="s">
        <v>8</v>
      </c>
      <c r="S98" s="1">
        <v>12698.77</v>
      </c>
      <c r="T98" s="1">
        <v>12190.293922819799</v>
      </c>
      <c r="U98" s="4">
        <v>4.0041364414049605</v>
      </c>
      <c r="V98" s="1">
        <v>3601</v>
      </c>
      <c r="W98" s="1">
        <v>3600</v>
      </c>
    </row>
    <row r="99" spans="1:23">
      <c r="A99" s="21"/>
      <c r="B99" t="s">
        <v>9</v>
      </c>
      <c r="S99" s="1">
        <v>12416.67</v>
      </c>
      <c r="T99" s="1">
        <v>10761.408627532801</v>
      </c>
      <c r="U99" s="4">
        <v>13.330960494779701</v>
      </c>
      <c r="V99" s="1">
        <v>3614</v>
      </c>
      <c r="W99" s="1">
        <v>3600</v>
      </c>
    </row>
    <row r="100" spans="1:23">
      <c r="A100" s="21"/>
      <c r="B100" t="s">
        <v>10</v>
      </c>
      <c r="S100" s="1">
        <v>13036.44</v>
      </c>
      <c r="T100" s="1">
        <v>12290.977419090499</v>
      </c>
      <c r="U100" s="4">
        <v>5.7182987142920298</v>
      </c>
      <c r="V100" s="1">
        <v>3606</v>
      </c>
      <c r="W100" s="1">
        <v>3600</v>
      </c>
    </row>
    <row r="101" spans="1:23">
      <c r="A101" s="21"/>
      <c r="B101" t="s">
        <v>11</v>
      </c>
      <c r="S101" s="1">
        <v>12249.82</v>
      </c>
      <c r="T101" s="1">
        <v>11516.987295483401</v>
      </c>
      <c r="U101" s="4">
        <v>5.9823956965616603</v>
      </c>
      <c r="V101" s="1">
        <v>3605</v>
      </c>
      <c r="W101" s="1">
        <v>3600</v>
      </c>
    </row>
    <row r="102" spans="1:23">
      <c r="A102" s="22" t="s">
        <v>86</v>
      </c>
      <c r="B102" s="13" t="s">
        <v>7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4">
        <v>12112.29</v>
      </c>
      <c r="T102" s="14">
        <v>11228.3814346538</v>
      </c>
      <c r="U102" s="15">
        <v>7.2976172577292999</v>
      </c>
      <c r="V102" s="14">
        <v>3601</v>
      </c>
      <c r="W102" s="14">
        <v>3600</v>
      </c>
    </row>
    <row r="103" spans="1:23">
      <c r="A103" s="22"/>
      <c r="B103" s="13" t="s">
        <v>8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4">
        <v>12362.34</v>
      </c>
      <c r="T103" s="14">
        <v>11247.393461003599</v>
      </c>
      <c r="U103" s="15">
        <v>9.0188956054955405</v>
      </c>
      <c r="V103" s="14">
        <v>3603</v>
      </c>
      <c r="W103" s="14">
        <v>3600</v>
      </c>
    </row>
    <row r="104" spans="1:23">
      <c r="A104" s="22"/>
      <c r="B104" s="13" t="s">
        <v>9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4">
        <v>12450.87</v>
      </c>
      <c r="T104" s="14">
        <v>11492.050709011</v>
      </c>
      <c r="U104" s="15">
        <v>7.7008216372754399</v>
      </c>
      <c r="V104" s="14">
        <v>3601</v>
      </c>
      <c r="W104" s="14">
        <v>3600</v>
      </c>
    </row>
    <row r="105" spans="1:23">
      <c r="A105" s="22"/>
      <c r="B105" s="13" t="s">
        <v>10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4">
        <v>12101.34</v>
      </c>
      <c r="T105" s="14">
        <v>11958.7761370977</v>
      </c>
      <c r="U105" s="15">
        <v>1.17808327757376</v>
      </c>
      <c r="V105" s="14">
        <v>3613</v>
      </c>
      <c r="W105" s="14">
        <v>3600</v>
      </c>
    </row>
    <row r="106" spans="1:23">
      <c r="A106" s="22"/>
      <c r="B106" s="13" t="s">
        <v>11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4">
        <v>13071.57</v>
      </c>
      <c r="T106" s="14">
        <v>11425.029812091299</v>
      </c>
      <c r="U106" s="15">
        <v>12.596346023535601</v>
      </c>
      <c r="V106" s="14">
        <v>3606</v>
      </c>
      <c r="W106" s="14">
        <v>3600</v>
      </c>
    </row>
    <row r="107" spans="1:23">
      <c r="A107" s="21" t="s">
        <v>87</v>
      </c>
      <c r="B107" t="s">
        <v>7</v>
      </c>
      <c r="S107" s="1">
        <v>11695.17</v>
      </c>
      <c r="T107" s="1">
        <v>10324.3496925703</v>
      </c>
      <c r="U107" s="4">
        <v>11.721251657134699</v>
      </c>
      <c r="V107" s="1">
        <v>10213</v>
      </c>
      <c r="W107" s="1">
        <v>3600</v>
      </c>
    </row>
    <row r="108" spans="1:23">
      <c r="A108" s="21"/>
      <c r="B108" t="s">
        <v>8</v>
      </c>
      <c r="S108" s="1">
        <v>11608.69</v>
      </c>
      <c r="T108" s="1">
        <v>10144.553317083</v>
      </c>
      <c r="U108" s="4">
        <v>12.612419514320699</v>
      </c>
      <c r="V108" s="1">
        <v>3616</v>
      </c>
      <c r="W108" s="1">
        <v>3600</v>
      </c>
    </row>
    <row r="109" spans="1:23">
      <c r="A109" s="21"/>
      <c r="B109" t="s">
        <v>9</v>
      </c>
      <c r="S109" s="1">
        <v>11811.73</v>
      </c>
      <c r="T109" s="1">
        <v>10060.0503074803</v>
      </c>
      <c r="U109" s="4">
        <v>14.8300011303992</v>
      </c>
      <c r="V109" s="1">
        <v>3624</v>
      </c>
      <c r="W109" s="1">
        <v>3600</v>
      </c>
    </row>
    <row r="110" spans="1:23">
      <c r="A110" s="21"/>
      <c r="B110" t="s">
        <v>10</v>
      </c>
      <c r="S110" s="1">
        <v>13923.17</v>
      </c>
      <c r="T110" s="1">
        <v>10652.2767480821</v>
      </c>
      <c r="U110" s="4">
        <v>23.492446417862201</v>
      </c>
      <c r="V110" s="1">
        <v>4753</v>
      </c>
      <c r="W110" s="1">
        <v>3600</v>
      </c>
    </row>
    <row r="111" spans="1:23">
      <c r="A111" s="21"/>
      <c r="B111" t="s">
        <v>11</v>
      </c>
      <c r="S111" s="1">
        <v>12553.6</v>
      </c>
      <c r="T111" s="1">
        <v>10595.447734548799</v>
      </c>
      <c r="U111" s="4">
        <v>15.598332473961198</v>
      </c>
      <c r="V111" s="1">
        <v>3617</v>
      </c>
      <c r="W111" s="1">
        <v>3600</v>
      </c>
    </row>
  </sheetData>
  <mergeCells count="32">
    <mergeCell ref="A107:A111"/>
    <mergeCell ref="A82:A86"/>
    <mergeCell ref="A87:A91"/>
    <mergeCell ref="A92:A96"/>
    <mergeCell ref="A97:A101"/>
    <mergeCell ref="A102:A106"/>
    <mergeCell ref="A61:C61"/>
    <mergeCell ref="A62:A66"/>
    <mergeCell ref="A67:A71"/>
    <mergeCell ref="A72:A76"/>
    <mergeCell ref="A77:A81"/>
    <mergeCell ref="A28:A32"/>
    <mergeCell ref="A53:A57"/>
    <mergeCell ref="C1:F1"/>
    <mergeCell ref="A48:A52"/>
    <mergeCell ref="A43:A47"/>
    <mergeCell ref="A33:A37"/>
    <mergeCell ref="A38:A42"/>
    <mergeCell ref="AE1:AH1"/>
    <mergeCell ref="AQ1:AT1"/>
    <mergeCell ref="G1:J1"/>
    <mergeCell ref="S1:V1"/>
    <mergeCell ref="A23:A27"/>
    <mergeCell ref="K1:N1"/>
    <mergeCell ref="O1:R1"/>
    <mergeCell ref="A3:A7"/>
    <mergeCell ref="A8:A12"/>
    <mergeCell ref="A13:A17"/>
    <mergeCell ref="A18:A22"/>
    <mergeCell ref="AM1:AP1"/>
    <mergeCell ref="AA1:AD1"/>
    <mergeCell ref="AI1:AL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47F2-0AB5-4AE8-9AA2-DCC002B17095}">
  <dimension ref="A1:L28"/>
  <sheetViews>
    <sheetView tabSelected="1" zoomScale="114" workbookViewId="0">
      <selection activeCell="P12" sqref="P12"/>
    </sheetView>
  </sheetViews>
  <sheetFormatPr baseColWidth="10" defaultColWidth="8.83203125" defaultRowHeight="15"/>
  <cols>
    <col min="1" max="1" width="15.5" bestFit="1" customWidth="1"/>
    <col min="3" max="3" width="10.6640625" bestFit="1" customWidth="1"/>
    <col min="4" max="4" width="9.83203125" bestFit="1" customWidth="1"/>
    <col min="5" max="5" width="9.1640625" bestFit="1" customWidth="1"/>
    <col min="6" max="7" width="9.83203125" bestFit="1" customWidth="1"/>
    <col min="8" max="8" width="10.6640625" bestFit="1" customWidth="1"/>
    <col min="12" max="12" width="11" bestFit="1" customWidth="1"/>
  </cols>
  <sheetData>
    <row r="1" spans="1:12">
      <c r="C1" s="20" t="s">
        <v>88</v>
      </c>
      <c r="D1" s="20"/>
      <c r="E1" s="20"/>
      <c r="F1" s="20"/>
      <c r="G1" s="20"/>
      <c r="H1" s="20" t="s">
        <v>97</v>
      </c>
      <c r="I1" s="20"/>
      <c r="J1" s="20"/>
      <c r="K1" s="20"/>
      <c r="L1" s="20"/>
    </row>
    <row r="2" spans="1:12">
      <c r="A2" t="s">
        <v>68</v>
      </c>
      <c r="B2" t="s">
        <v>61</v>
      </c>
      <c r="C2" s="1" t="s">
        <v>96</v>
      </c>
      <c r="D2" s="10" t="s">
        <v>69</v>
      </c>
      <c r="E2" s="10" t="s">
        <v>70</v>
      </c>
      <c r="F2" t="s">
        <v>71</v>
      </c>
      <c r="G2" t="s">
        <v>72</v>
      </c>
      <c r="H2" s="1" t="s">
        <v>96</v>
      </c>
      <c r="I2" s="10" t="s">
        <v>69</v>
      </c>
      <c r="J2" s="10" t="s">
        <v>70</v>
      </c>
      <c r="K2" t="s">
        <v>76</v>
      </c>
      <c r="L2" t="s">
        <v>72</v>
      </c>
    </row>
    <row r="3" spans="1:12">
      <c r="A3" s="38" t="s">
        <v>91</v>
      </c>
      <c r="B3" s="39">
        <v>1</v>
      </c>
      <c r="C3" s="41">
        <v>2E-3</v>
      </c>
      <c r="D3" s="40">
        <v>7283.9077354708797</v>
      </c>
      <c r="E3" s="40">
        <v>269.84332590205702</v>
      </c>
      <c r="F3" s="40">
        <v>7786.13</v>
      </c>
      <c r="G3" s="40">
        <v>8123.6711999999998</v>
      </c>
      <c r="H3" s="39">
        <v>0</v>
      </c>
      <c r="I3" s="40">
        <v>7306.53064000002</v>
      </c>
      <c r="J3" s="40">
        <v>197.709056975143</v>
      </c>
      <c r="K3" s="40">
        <v>7698</v>
      </c>
      <c r="L3" s="40">
        <v>7894.7788</v>
      </c>
    </row>
    <row r="4" spans="1:12">
      <c r="A4" s="38"/>
      <c r="B4" s="39">
        <v>2</v>
      </c>
      <c r="C4" s="41">
        <v>2E-3</v>
      </c>
      <c r="D4" s="40">
        <v>7283.9077354708797</v>
      </c>
      <c r="E4" s="40">
        <v>269.84332590205702</v>
      </c>
      <c r="F4" s="40">
        <v>7786.13</v>
      </c>
      <c r="G4" s="40">
        <v>8123.6711999999998</v>
      </c>
      <c r="H4" s="39">
        <v>0</v>
      </c>
      <c r="I4" s="40">
        <v>7531.0380099999402</v>
      </c>
      <c r="J4" s="40">
        <v>159.85737548401201</v>
      </c>
      <c r="K4" s="40">
        <v>7847.03</v>
      </c>
      <c r="L4" s="40">
        <v>7993.2092000000102</v>
      </c>
    </row>
    <row r="5" spans="1:12">
      <c r="A5" s="38"/>
      <c r="B5" s="39">
        <v>3</v>
      </c>
      <c r="C5" s="41">
        <v>2E-3</v>
      </c>
      <c r="D5" s="40">
        <v>7283.9077354708797</v>
      </c>
      <c r="E5" s="40">
        <v>269.84332590205702</v>
      </c>
      <c r="F5" s="40">
        <v>7786.13</v>
      </c>
      <c r="G5" s="40">
        <v>8123.6711999999998</v>
      </c>
      <c r="H5" s="39">
        <v>0</v>
      </c>
      <c r="I5" s="40">
        <v>7615.3146400000696</v>
      </c>
      <c r="J5" s="40">
        <v>151.30802856748599</v>
      </c>
      <c r="K5" s="40">
        <v>7916.54</v>
      </c>
      <c r="L5" s="40">
        <v>8046.1152000000002</v>
      </c>
    </row>
    <row r="6" spans="1:12">
      <c r="A6" s="42" t="s">
        <v>73</v>
      </c>
      <c r="B6" s="43">
        <v>1</v>
      </c>
      <c r="C6" s="44">
        <v>0.01</v>
      </c>
      <c r="D6" s="45">
        <v>7436.7893737373297</v>
      </c>
      <c r="E6" s="45">
        <v>394.49965277532198</v>
      </c>
      <c r="F6" s="45">
        <v>8286.51</v>
      </c>
      <c r="G6" s="45">
        <v>8721.1563999999998</v>
      </c>
      <c r="H6" s="44">
        <v>1E-3</v>
      </c>
      <c r="I6" s="45">
        <v>7447.2617317317099</v>
      </c>
      <c r="J6" s="45">
        <v>325.15908568654999</v>
      </c>
      <c r="K6" s="45">
        <v>7993.28</v>
      </c>
      <c r="L6" s="45">
        <v>8380.5123999999996</v>
      </c>
    </row>
    <row r="7" spans="1:12">
      <c r="A7" s="42"/>
      <c r="B7" s="43">
        <v>2</v>
      </c>
      <c r="C7" s="44">
        <v>0.01</v>
      </c>
      <c r="D7" s="45">
        <v>7436.7893737373297</v>
      </c>
      <c r="E7" s="45">
        <v>394.49965277532198</v>
      </c>
      <c r="F7" s="45">
        <v>8286.51</v>
      </c>
      <c r="G7" s="45">
        <v>8721.1563999999998</v>
      </c>
      <c r="H7" s="44">
        <v>0</v>
      </c>
      <c r="I7" s="45">
        <v>7659.7968799999899</v>
      </c>
      <c r="J7" s="45">
        <v>243.93604876309601</v>
      </c>
      <c r="K7" s="45">
        <v>8131.3</v>
      </c>
      <c r="L7" s="45">
        <v>8343.2541999999994</v>
      </c>
    </row>
    <row r="8" spans="1:12">
      <c r="A8" s="42"/>
      <c r="B8" s="43">
        <v>3</v>
      </c>
      <c r="C8" s="44">
        <v>0.01</v>
      </c>
      <c r="D8" s="45">
        <v>7436.7893737373297</v>
      </c>
      <c r="E8" s="45">
        <v>394.49965277532198</v>
      </c>
      <c r="F8" s="45">
        <v>8286.51</v>
      </c>
      <c r="G8" s="45">
        <v>8721.1563999999998</v>
      </c>
      <c r="H8" s="44">
        <v>0</v>
      </c>
      <c r="I8" s="45">
        <v>7740.4132200000004</v>
      </c>
      <c r="J8" s="45">
        <v>228.15096742369499</v>
      </c>
      <c r="K8" s="45">
        <v>8161.07</v>
      </c>
      <c r="L8" s="45">
        <v>8381.2865999999995</v>
      </c>
    </row>
    <row r="9" spans="1:12">
      <c r="A9" s="38" t="s">
        <v>74</v>
      </c>
      <c r="B9" s="39">
        <v>1</v>
      </c>
      <c r="C9" s="41">
        <v>6.5000000000000002E-2</v>
      </c>
      <c r="D9" s="40">
        <v>7684.4514331550699</v>
      </c>
      <c r="E9" s="40">
        <v>564.28447873515995</v>
      </c>
      <c r="F9" s="40">
        <v>8882.2199999999993</v>
      </c>
      <c r="G9" s="40">
        <v>9348.2740425531902</v>
      </c>
      <c r="H9" s="41">
        <v>0.01</v>
      </c>
      <c r="I9" s="40">
        <v>7706.9444747474499</v>
      </c>
      <c r="J9" s="40">
        <v>469.24263939972002</v>
      </c>
      <c r="K9" s="40">
        <v>8691.57</v>
      </c>
      <c r="L9" s="40">
        <v>9064.9580000000005</v>
      </c>
    </row>
    <row r="10" spans="1:12">
      <c r="A10" s="38"/>
      <c r="B10" s="39">
        <v>2</v>
      </c>
      <c r="C10" s="41">
        <v>6.5000000000000002E-2</v>
      </c>
      <c r="D10" s="40">
        <v>7684.4514331550699</v>
      </c>
      <c r="E10" s="40">
        <v>564.28447873515995</v>
      </c>
      <c r="F10" s="40">
        <v>8882.2199999999993</v>
      </c>
      <c r="G10" s="40">
        <v>9348.2740425531902</v>
      </c>
      <c r="H10" s="41">
        <v>2E-3</v>
      </c>
      <c r="I10" s="40">
        <v>7900.7378456913902</v>
      </c>
      <c r="J10" s="40">
        <v>375.68110053843901</v>
      </c>
      <c r="K10" s="40">
        <v>8552.36</v>
      </c>
      <c r="L10" s="40">
        <v>8900.9563999999991</v>
      </c>
    </row>
    <row r="11" spans="1:12">
      <c r="A11" s="38"/>
      <c r="B11" s="39">
        <v>3</v>
      </c>
      <c r="C11" s="41">
        <v>6.5000000000000002E-2</v>
      </c>
      <c r="D11" s="40">
        <v>7684.4514331550699</v>
      </c>
      <c r="E11" s="40">
        <v>564.28447873515995</v>
      </c>
      <c r="F11" s="40">
        <v>8882.2199999999993</v>
      </c>
      <c r="G11" s="40">
        <v>9348.2740425531902</v>
      </c>
      <c r="H11" s="41">
        <v>0</v>
      </c>
      <c r="I11" s="40">
        <v>7972.2721700000102</v>
      </c>
      <c r="J11" s="40">
        <v>345.06024531389698</v>
      </c>
      <c r="K11" s="40">
        <v>8581.16</v>
      </c>
      <c r="L11" s="40">
        <v>8898.0360000000001</v>
      </c>
    </row>
    <row r="12" spans="1:12">
      <c r="A12" s="42" t="s">
        <v>75</v>
      </c>
      <c r="B12" s="43">
        <v>1</v>
      </c>
      <c r="C12" s="44">
        <v>0.17299999999999999</v>
      </c>
      <c r="D12" s="45">
        <v>7981.9819830713504</v>
      </c>
      <c r="E12" s="45">
        <v>678.99631681519702</v>
      </c>
      <c r="F12" s="45">
        <v>9328.1200000000008</v>
      </c>
      <c r="G12" s="45">
        <v>9825.0266666666703</v>
      </c>
      <c r="H12" s="44">
        <v>4.2000000000000003E-2</v>
      </c>
      <c r="I12" s="45">
        <v>8064.3261064718099</v>
      </c>
      <c r="J12" s="45">
        <v>666.82810507181205</v>
      </c>
      <c r="K12" s="45">
        <v>9438.19</v>
      </c>
      <c r="L12" s="45">
        <v>9965.1802083333296</v>
      </c>
    </row>
    <row r="13" spans="1:12">
      <c r="A13" s="42"/>
      <c r="B13" s="43">
        <v>2</v>
      </c>
      <c r="C13" s="44">
        <v>0.17299999999999999</v>
      </c>
      <c r="D13" s="45">
        <v>7981.9819830713504</v>
      </c>
      <c r="E13" s="45">
        <v>678.99631681519702</v>
      </c>
      <c r="F13" s="45">
        <v>9328.1200000000008</v>
      </c>
      <c r="G13" s="45">
        <v>9825.0266666666703</v>
      </c>
      <c r="H13" s="44">
        <v>1.0999999999999999E-2</v>
      </c>
      <c r="I13" s="45">
        <v>8217.4297876642995</v>
      </c>
      <c r="J13" s="45">
        <v>542.41441883095501</v>
      </c>
      <c r="K13" s="45">
        <v>9149.69</v>
      </c>
      <c r="L13" s="45">
        <v>9706.2011999999995</v>
      </c>
    </row>
    <row r="14" spans="1:12">
      <c r="A14" s="42"/>
      <c r="B14" s="43">
        <v>3</v>
      </c>
      <c r="C14" s="44">
        <v>0.17299999999999999</v>
      </c>
      <c r="D14" s="45">
        <v>7981.9819830713504</v>
      </c>
      <c r="E14" s="45">
        <v>678.99631681519702</v>
      </c>
      <c r="F14" s="45">
        <v>9328.1200000000008</v>
      </c>
      <c r="G14" s="45">
        <v>9825.0266666666703</v>
      </c>
      <c r="H14" s="44">
        <v>2E-3</v>
      </c>
      <c r="I14" s="45">
        <v>8290.0906012024006</v>
      </c>
      <c r="J14" s="45">
        <v>500.99818013475198</v>
      </c>
      <c r="K14" s="45">
        <v>9150.1299999999992</v>
      </c>
      <c r="L14" s="45">
        <v>9726.2741999999998</v>
      </c>
    </row>
    <row r="15" spans="1:12">
      <c r="A15" s="9"/>
      <c r="B15" s="1"/>
      <c r="C15" s="12"/>
      <c r="D15" s="11"/>
      <c r="E15" s="11"/>
      <c r="F15" s="11"/>
      <c r="G15" s="11"/>
      <c r="H15" s="12"/>
      <c r="I15" s="11"/>
      <c r="J15" s="11"/>
      <c r="K15" s="11"/>
      <c r="L15" s="11"/>
    </row>
    <row r="17" spans="1:12">
      <c r="A17" s="20" t="s">
        <v>77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>
      <c r="C18" s="20" t="s">
        <v>88</v>
      </c>
      <c r="D18" s="20"/>
      <c r="E18" s="20"/>
      <c r="F18" s="20"/>
      <c r="G18" s="20"/>
      <c r="H18" s="20" t="s">
        <v>89</v>
      </c>
      <c r="I18" s="20"/>
      <c r="J18" s="20"/>
      <c r="K18" s="20"/>
      <c r="L18" s="20"/>
    </row>
    <row r="19" spans="1:12">
      <c r="A19" t="s">
        <v>68</v>
      </c>
      <c r="B19" t="s">
        <v>61</v>
      </c>
      <c r="C19" s="1" t="s">
        <v>99</v>
      </c>
      <c r="D19" s="10" t="s">
        <v>69</v>
      </c>
      <c r="E19" s="10" t="s">
        <v>70</v>
      </c>
      <c r="F19" t="s">
        <v>71</v>
      </c>
      <c r="G19" t="s">
        <v>72</v>
      </c>
      <c r="H19" s="1" t="s">
        <v>99</v>
      </c>
      <c r="I19" s="10" t="s">
        <v>69</v>
      </c>
      <c r="J19" s="10" t="s">
        <v>70</v>
      </c>
      <c r="K19" t="s">
        <v>76</v>
      </c>
      <c r="L19" t="s">
        <v>72</v>
      </c>
    </row>
    <row r="20" spans="1:12">
      <c r="A20" s="21">
        <v>1</v>
      </c>
      <c r="B20" s="1">
        <v>1</v>
      </c>
      <c r="C20" s="1">
        <v>0</v>
      </c>
      <c r="D20" s="11">
        <v>7230.2626199999504</v>
      </c>
      <c r="E20" s="11">
        <v>146.13136339302</v>
      </c>
      <c r="F20" s="11">
        <v>7536.52</v>
      </c>
      <c r="G20" s="11">
        <v>7654.34</v>
      </c>
      <c r="H20" s="1">
        <v>0</v>
      </c>
      <c r="I20" s="11">
        <v>7266.8290399999996</v>
      </c>
      <c r="J20" s="11">
        <v>125.847136949383</v>
      </c>
      <c r="K20" s="11">
        <v>7549.13</v>
      </c>
      <c r="L20" s="11">
        <v>7581.5908000000099</v>
      </c>
    </row>
    <row r="21" spans="1:12">
      <c r="A21" s="21"/>
      <c r="B21" s="1">
        <v>2</v>
      </c>
      <c r="C21" s="1">
        <v>0</v>
      </c>
      <c r="D21" s="11">
        <v>7230.2626199999504</v>
      </c>
      <c r="E21" s="11">
        <v>146.13136339302</v>
      </c>
      <c r="F21" s="11">
        <v>7536.52</v>
      </c>
      <c r="G21" s="11">
        <v>7654.34</v>
      </c>
      <c r="H21" s="1">
        <v>0</v>
      </c>
      <c r="I21" s="11">
        <v>7490.9480499998899</v>
      </c>
      <c r="J21" s="11">
        <v>97.471888003919105</v>
      </c>
      <c r="K21" s="11">
        <v>7705.04</v>
      </c>
      <c r="L21" s="11">
        <v>7730.1360000000104</v>
      </c>
    </row>
    <row r="22" spans="1:12">
      <c r="A22" s="21"/>
      <c r="B22" s="1">
        <v>3</v>
      </c>
      <c r="C22" s="1">
        <v>0</v>
      </c>
      <c r="D22" s="11">
        <v>7230.2626199999504</v>
      </c>
      <c r="E22" s="11">
        <v>146.13136339302</v>
      </c>
      <c r="F22" s="11">
        <v>7536.52</v>
      </c>
      <c r="G22" s="11">
        <v>7654.34</v>
      </c>
      <c r="H22" s="1">
        <v>0</v>
      </c>
      <c r="I22" s="11">
        <v>7576.9046400000698</v>
      </c>
      <c r="J22" s="11">
        <v>94.003669975375004</v>
      </c>
      <c r="K22" s="11">
        <v>7781.17</v>
      </c>
      <c r="L22" s="11">
        <v>7798.7052000000103</v>
      </c>
    </row>
    <row r="23" spans="1:12">
      <c r="A23" s="23">
        <v>3</v>
      </c>
      <c r="B23" s="17">
        <v>1</v>
      </c>
      <c r="C23" s="18">
        <v>2E-3</v>
      </c>
      <c r="D23" s="19">
        <v>7365.9692484969801</v>
      </c>
      <c r="E23" s="19">
        <v>283.84769129251799</v>
      </c>
      <c r="F23" s="19">
        <v>7890.53</v>
      </c>
      <c r="G23" s="19">
        <v>8174.0965999999999</v>
      </c>
      <c r="H23" s="17">
        <v>0</v>
      </c>
      <c r="I23" s="19">
        <v>7391.27512999996</v>
      </c>
      <c r="J23" s="19">
        <v>226.27535000747201</v>
      </c>
      <c r="K23" s="19">
        <v>7770.27</v>
      </c>
      <c r="L23" s="19">
        <v>7997.6056000000099</v>
      </c>
    </row>
    <row r="24" spans="1:12">
      <c r="A24" s="23"/>
      <c r="B24" s="17">
        <v>2</v>
      </c>
      <c r="C24" s="18">
        <v>2E-3</v>
      </c>
      <c r="D24" s="19">
        <v>7365.9692484969801</v>
      </c>
      <c r="E24" s="19">
        <v>283.84769129251799</v>
      </c>
      <c r="F24" s="19">
        <v>7890.53</v>
      </c>
      <c r="G24" s="19">
        <v>8174.0965999999999</v>
      </c>
      <c r="H24" s="17">
        <v>0</v>
      </c>
      <c r="I24" s="19">
        <v>7607.3725399999403</v>
      </c>
      <c r="J24" s="19">
        <v>173.70952933137801</v>
      </c>
      <c r="K24" s="19">
        <v>7916.51</v>
      </c>
      <c r="L24" s="19">
        <v>8006.3370000000004</v>
      </c>
    </row>
    <row r="25" spans="1:12">
      <c r="A25" s="23"/>
      <c r="B25" s="17">
        <v>3</v>
      </c>
      <c r="C25" s="18">
        <v>2E-3</v>
      </c>
      <c r="D25" s="19">
        <v>7365.9692484969801</v>
      </c>
      <c r="E25" s="19">
        <v>283.84769129251799</v>
      </c>
      <c r="F25" s="19">
        <v>7890.53</v>
      </c>
      <c r="G25" s="19">
        <v>8174.0965999999999</v>
      </c>
      <c r="H25" s="17">
        <v>0</v>
      </c>
      <c r="I25" s="19">
        <v>7696.0108</v>
      </c>
      <c r="J25" s="19">
        <v>171.08291184769601</v>
      </c>
      <c r="K25" s="19">
        <v>7992.64</v>
      </c>
      <c r="L25" s="19">
        <v>8098.0169999999998</v>
      </c>
    </row>
    <row r="26" spans="1:12">
      <c r="A26" s="21">
        <v>5</v>
      </c>
      <c r="B26" s="1">
        <v>1</v>
      </c>
      <c r="C26" s="12">
        <v>0.01</v>
      </c>
      <c r="D26" s="11">
        <v>7497.8772828282299</v>
      </c>
      <c r="E26" s="11">
        <v>344.88052779295901</v>
      </c>
      <c r="F26" s="11">
        <v>7951.58</v>
      </c>
      <c r="G26" s="11">
        <v>8495.1460000000006</v>
      </c>
      <c r="H26" s="1">
        <v>0</v>
      </c>
      <c r="I26" s="11">
        <v>7518.1362599999802</v>
      </c>
      <c r="J26" s="11">
        <v>300.93895163541703</v>
      </c>
      <c r="K26" s="11">
        <v>8023.12</v>
      </c>
      <c r="L26" s="11">
        <v>8365.4027999999907</v>
      </c>
    </row>
    <row r="27" spans="1:12">
      <c r="A27" s="21"/>
      <c r="B27" s="1">
        <v>2</v>
      </c>
      <c r="C27" s="12">
        <v>0.01</v>
      </c>
      <c r="D27" s="11">
        <v>7497.8772828282299</v>
      </c>
      <c r="E27" s="11">
        <v>344.88052779295901</v>
      </c>
      <c r="F27" s="11">
        <v>7951.58</v>
      </c>
      <c r="G27" s="11">
        <v>8495.1460000000006</v>
      </c>
      <c r="H27" s="1">
        <v>0</v>
      </c>
      <c r="I27" s="11">
        <v>7737.4026900000099</v>
      </c>
      <c r="J27" s="11">
        <v>230.318506259896</v>
      </c>
      <c r="K27" s="11">
        <v>8121.31</v>
      </c>
      <c r="L27" s="11">
        <v>8313.7885999999999</v>
      </c>
    </row>
    <row r="28" spans="1:12">
      <c r="A28" s="21"/>
      <c r="B28" s="1">
        <v>3</v>
      </c>
      <c r="C28" s="12">
        <v>0.01</v>
      </c>
      <c r="D28" s="11">
        <v>7497.8772828282299</v>
      </c>
      <c r="E28" s="11">
        <v>344.88052779295901</v>
      </c>
      <c r="F28" s="11">
        <v>7951.58</v>
      </c>
      <c r="G28" s="11">
        <v>8495.1460000000006</v>
      </c>
      <c r="H28" s="1">
        <v>0</v>
      </c>
      <c r="I28" s="11">
        <v>7823.4259299999203</v>
      </c>
      <c r="J28" s="11">
        <v>224.012453964206</v>
      </c>
      <c r="K28" s="11">
        <v>8187.56</v>
      </c>
      <c r="L28" s="11">
        <v>8362.3608000000095</v>
      </c>
    </row>
  </sheetData>
  <mergeCells count="12">
    <mergeCell ref="A20:A22"/>
    <mergeCell ref="A23:A25"/>
    <mergeCell ref="A26:A28"/>
    <mergeCell ref="H1:L1"/>
    <mergeCell ref="A17:L17"/>
    <mergeCell ref="C18:G18"/>
    <mergeCell ref="H18:L18"/>
    <mergeCell ref="A6:A8"/>
    <mergeCell ref="C1:G1"/>
    <mergeCell ref="A9:A11"/>
    <mergeCell ref="A12:A14"/>
    <mergeCell ref="A3:A5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6E2F-6172-44CE-B62B-961526FB7FB6}">
  <dimension ref="A1:AV82"/>
  <sheetViews>
    <sheetView zoomScaleNormal="100" workbookViewId="0">
      <selection activeCell="O16" sqref="O16"/>
    </sheetView>
  </sheetViews>
  <sheetFormatPr baseColWidth="10" defaultColWidth="8.83203125" defaultRowHeight="15"/>
  <cols>
    <col min="27" max="27" width="9" customWidth="1"/>
    <col min="31" max="32" width="9" customWidth="1"/>
    <col min="35" max="35" width="6.33203125" bestFit="1" customWidth="1"/>
    <col min="36" max="37" width="9" customWidth="1"/>
    <col min="41" max="42" width="9" customWidth="1"/>
    <col min="46" max="46" width="9" customWidth="1"/>
  </cols>
  <sheetData>
    <row r="1" spans="1:46">
      <c r="A1" t="s">
        <v>3</v>
      </c>
      <c r="B1" t="s">
        <v>6</v>
      </c>
      <c r="C1" s="20" t="s">
        <v>44</v>
      </c>
      <c r="D1" s="20"/>
      <c r="E1" s="20"/>
      <c r="F1" s="20"/>
      <c r="G1" s="20"/>
      <c r="H1" s="20" t="s">
        <v>45</v>
      </c>
      <c r="I1" s="20"/>
      <c r="J1" s="20"/>
      <c r="K1" s="20"/>
      <c r="L1" s="20"/>
      <c r="M1" s="20" t="s">
        <v>46</v>
      </c>
      <c r="N1" s="20"/>
      <c r="O1" s="20"/>
      <c r="P1" s="20"/>
      <c r="Q1" s="20"/>
      <c r="R1" s="20" t="s">
        <v>47</v>
      </c>
      <c r="S1" s="20"/>
      <c r="T1" s="20"/>
      <c r="U1" s="20"/>
      <c r="V1" s="20"/>
      <c r="AA1" s="20" t="s">
        <v>44</v>
      </c>
      <c r="AB1" s="20"/>
      <c r="AC1" s="20"/>
      <c r="AD1" s="20"/>
      <c r="AE1" s="20"/>
      <c r="AF1" s="20" t="s">
        <v>45</v>
      </c>
      <c r="AG1" s="20"/>
      <c r="AH1" s="20"/>
      <c r="AI1" s="20"/>
      <c r="AJ1" s="20"/>
      <c r="AK1" s="20" t="s">
        <v>46</v>
      </c>
      <c r="AL1" s="20"/>
      <c r="AM1" s="20"/>
      <c r="AN1" s="20"/>
      <c r="AO1" s="20"/>
      <c r="AP1" s="20" t="s">
        <v>47</v>
      </c>
      <c r="AQ1" s="20"/>
      <c r="AR1" s="20"/>
      <c r="AS1" s="20"/>
      <c r="AT1" s="20"/>
    </row>
    <row r="2" spans="1:46">
      <c r="C2" t="s">
        <v>12</v>
      </c>
      <c r="D2" t="s">
        <v>14</v>
      </c>
      <c r="E2" t="s">
        <v>5</v>
      </c>
      <c r="F2" t="s">
        <v>13</v>
      </c>
      <c r="G2" t="s">
        <v>48</v>
      </c>
      <c r="H2" s="1" t="s">
        <v>12</v>
      </c>
      <c r="I2" t="s">
        <v>14</v>
      </c>
      <c r="J2" t="s">
        <v>5</v>
      </c>
      <c r="K2" t="s">
        <v>13</v>
      </c>
      <c r="L2" t="s">
        <v>48</v>
      </c>
      <c r="M2" t="s">
        <v>12</v>
      </c>
      <c r="N2" t="s">
        <v>14</v>
      </c>
      <c r="O2" t="s">
        <v>5</v>
      </c>
      <c r="P2" t="s">
        <v>13</v>
      </c>
      <c r="Q2" t="s">
        <v>48</v>
      </c>
      <c r="R2" s="1" t="s">
        <v>12</v>
      </c>
      <c r="S2" t="s">
        <v>14</v>
      </c>
      <c r="T2" t="s">
        <v>5</v>
      </c>
      <c r="U2" t="s">
        <v>13</v>
      </c>
      <c r="V2" t="s">
        <v>48</v>
      </c>
      <c r="Y2" t="s">
        <v>61</v>
      </c>
      <c r="Z2" t="s">
        <v>3</v>
      </c>
      <c r="AA2" t="s">
        <v>67</v>
      </c>
      <c r="AB2" t="s">
        <v>66</v>
      </c>
      <c r="AC2" t="s">
        <v>5</v>
      </c>
      <c r="AD2" t="s">
        <v>2</v>
      </c>
      <c r="AE2" t="s">
        <v>100</v>
      </c>
      <c r="AF2" t="s">
        <v>67</v>
      </c>
      <c r="AG2" t="s">
        <v>1</v>
      </c>
      <c r="AH2" t="s">
        <v>5</v>
      </c>
      <c r="AI2" t="s">
        <v>2</v>
      </c>
      <c r="AJ2" t="s">
        <v>100</v>
      </c>
      <c r="AK2" t="s">
        <v>67</v>
      </c>
      <c r="AL2" t="s">
        <v>1</v>
      </c>
      <c r="AM2" t="s">
        <v>5</v>
      </c>
      <c r="AN2" t="s">
        <v>2</v>
      </c>
      <c r="AO2" t="s">
        <v>100</v>
      </c>
      <c r="AP2" t="s">
        <v>67</v>
      </c>
      <c r="AQ2" t="s">
        <v>1</v>
      </c>
      <c r="AR2" t="s">
        <v>5</v>
      </c>
      <c r="AS2" t="s">
        <v>2</v>
      </c>
      <c r="AT2" t="s">
        <v>100</v>
      </c>
    </row>
    <row r="3" spans="1:46">
      <c r="A3" s="21" t="s">
        <v>49</v>
      </c>
      <c r="B3" t="s">
        <v>7</v>
      </c>
      <c r="C3" s="7">
        <v>5645.3</v>
      </c>
      <c r="D3" s="7">
        <v>5645.3</v>
      </c>
      <c r="E3" s="3">
        <f t="shared" ref="E3:E66" si="0">(C3-D3)/C3*100</f>
        <v>0</v>
      </c>
      <c r="F3" s="1">
        <v>0</v>
      </c>
      <c r="G3" s="1">
        <v>10</v>
      </c>
      <c r="H3" s="7">
        <v>6233.54</v>
      </c>
      <c r="I3" s="7">
        <v>6233.4382828282796</v>
      </c>
      <c r="J3" s="3">
        <f t="shared" ref="J3:J66" si="1">(H3-I3)/H3*100</f>
        <v>1.6317721827458912E-3</v>
      </c>
      <c r="K3" s="1">
        <v>0</v>
      </c>
      <c r="L3" s="1">
        <v>9</v>
      </c>
      <c r="M3" s="7">
        <v>6786.28</v>
      </c>
      <c r="N3" s="7">
        <v>6786.28</v>
      </c>
      <c r="O3" s="3">
        <f t="shared" ref="O3:O66" si="2">(M3-N3)/M3*100</f>
        <v>0</v>
      </c>
      <c r="P3" s="1">
        <v>0</v>
      </c>
      <c r="Q3" s="1">
        <v>8</v>
      </c>
      <c r="R3" s="7">
        <v>7152.44</v>
      </c>
      <c r="S3" s="7">
        <v>7152.44</v>
      </c>
      <c r="T3" s="3">
        <f t="shared" ref="T3:T66" si="3">(R3-S3)/R3*100</f>
        <v>0</v>
      </c>
      <c r="U3" s="1">
        <v>1</v>
      </c>
      <c r="V3" s="1">
        <v>5</v>
      </c>
      <c r="Y3" s="21">
        <v>1</v>
      </c>
      <c r="Z3" t="s">
        <v>62</v>
      </c>
      <c r="AA3" s="5">
        <f>AVERAGE(C3:C7)</f>
        <v>5980.7610000000004</v>
      </c>
      <c r="AB3">
        <v>5</v>
      </c>
      <c r="AC3" s="5">
        <f>AVERAGE(E3:E7)</f>
        <v>1.8302931108806601E-3</v>
      </c>
      <c r="AD3" s="5">
        <f>AVERAGE(F3:F7)</f>
        <v>0</v>
      </c>
      <c r="AE3" s="5">
        <f>AVERAGE(G3:G7)</f>
        <v>9.8000000000000007</v>
      </c>
      <c r="AF3" s="5">
        <f>AVERAGE(H3:H7)</f>
        <v>6593.1859999999997</v>
      </c>
      <c r="AG3">
        <v>5</v>
      </c>
      <c r="AH3" s="5">
        <f>AVERAGE(J3:J7)</f>
        <v>3.4936954355700876E-3</v>
      </c>
      <c r="AI3" s="5">
        <f>AVERAGE(K3:K7)</f>
        <v>0.2</v>
      </c>
      <c r="AJ3" s="5">
        <f>AVERAGE(L3:L7)</f>
        <v>8</v>
      </c>
      <c r="AK3" s="5">
        <f>AVERAGE(M3:M7)</f>
        <v>7042.7470000000003</v>
      </c>
      <c r="AL3">
        <v>5</v>
      </c>
      <c r="AM3" s="5">
        <f>AVERAGE(O3:O7)</f>
        <v>1.6958416304021476E-3</v>
      </c>
      <c r="AN3" s="5">
        <f>AVERAGE(P3:P7)</f>
        <v>0.8</v>
      </c>
      <c r="AO3" s="5">
        <f>AVERAGE(Q3:Q7)</f>
        <v>6.2</v>
      </c>
      <c r="AP3" s="5">
        <f>AVERAGE(R3:R7)</f>
        <v>7377.1479999999992</v>
      </c>
      <c r="AQ3">
        <v>5</v>
      </c>
      <c r="AR3" s="5">
        <f>AVERAGE(T3:T7)</f>
        <v>0</v>
      </c>
      <c r="AS3" s="5">
        <f>AVERAGE(U3:U7)</f>
        <v>1</v>
      </c>
      <c r="AT3" s="5">
        <f>AVERAGE(V3:V7)</f>
        <v>4.8</v>
      </c>
    </row>
    <row r="4" spans="1:46">
      <c r="A4" s="21"/>
      <c r="B4" t="s">
        <v>8</v>
      </c>
      <c r="C4" s="7">
        <v>5682.15</v>
      </c>
      <c r="D4" s="7">
        <v>5681.63</v>
      </c>
      <c r="E4" s="3">
        <f t="shared" si="0"/>
        <v>9.1514655544033003E-3</v>
      </c>
      <c r="F4" s="1">
        <v>0</v>
      </c>
      <c r="G4" s="1">
        <v>9</v>
      </c>
      <c r="H4" s="7">
        <v>6117.32</v>
      </c>
      <c r="I4" s="7">
        <v>6116.75</v>
      </c>
      <c r="J4" s="3">
        <f t="shared" si="1"/>
        <v>9.3178058365380421E-3</v>
      </c>
      <c r="K4" s="1">
        <v>0</v>
      </c>
      <c r="L4" s="1">
        <v>5</v>
      </c>
      <c r="M4" s="7">
        <v>6391.23</v>
      </c>
      <c r="N4" s="7">
        <v>6391.23</v>
      </c>
      <c r="O4" s="3">
        <f t="shared" si="2"/>
        <v>0</v>
      </c>
      <c r="P4" s="1">
        <v>1</v>
      </c>
      <c r="Q4" s="1">
        <v>5</v>
      </c>
      <c r="R4" s="7">
        <v>6629</v>
      </c>
      <c r="S4" s="7">
        <v>6629</v>
      </c>
      <c r="T4" s="3">
        <f t="shared" si="3"/>
        <v>0</v>
      </c>
      <c r="U4" s="1">
        <v>1</v>
      </c>
      <c r="V4" s="1">
        <v>4</v>
      </c>
      <c r="Y4" s="21"/>
      <c r="Z4" t="s">
        <v>63</v>
      </c>
      <c r="AA4" s="5">
        <f>AVERAGE(C8:C12)</f>
        <v>5764.8680000000004</v>
      </c>
      <c r="AB4">
        <v>5</v>
      </c>
      <c r="AC4" s="5">
        <f>AVERAGE(E8:E12)</f>
        <v>0</v>
      </c>
      <c r="AD4" s="5">
        <f>AVERAGE(F8:F12)</f>
        <v>0</v>
      </c>
      <c r="AE4" s="5">
        <f>AVERAGE(G8:G12)</f>
        <v>10.8</v>
      </c>
      <c r="AF4" s="5">
        <f>AVERAGE(H8:H12)</f>
        <v>6354.3020000000006</v>
      </c>
      <c r="AG4">
        <v>5</v>
      </c>
      <c r="AH4" s="5">
        <f>AVERAGE(J8:J12)</f>
        <v>1.1899991539823589E-3</v>
      </c>
      <c r="AI4" s="5">
        <f>AVERAGE(K8:K12)</f>
        <v>0.6</v>
      </c>
      <c r="AJ4" s="5">
        <f>AVERAGE(L8:L12)</f>
        <v>7</v>
      </c>
      <c r="AK4" s="5">
        <f>AVERAGE(M8:M12)</f>
        <v>6754.0399999999991</v>
      </c>
      <c r="AL4">
        <v>5</v>
      </c>
      <c r="AM4" s="5">
        <f>AVERAGE(O8:O12)</f>
        <v>1.9886366856088212E-3</v>
      </c>
      <c r="AN4" s="5">
        <f>AVERAGE(P8:P12)</f>
        <v>1.4</v>
      </c>
      <c r="AO4" s="5">
        <f>AVERAGE(Q8:Q12)</f>
        <v>6</v>
      </c>
      <c r="AP4" s="5">
        <f>AVERAGE(R8:R12)</f>
        <v>7078.6880000000001</v>
      </c>
      <c r="AQ4">
        <v>5</v>
      </c>
      <c r="AR4" s="5">
        <f>AVERAGE(T8:T12)</f>
        <v>1.2530228583308694E-3</v>
      </c>
      <c r="AS4" s="5">
        <f>AVERAGE(U8:U12)</f>
        <v>2.4</v>
      </c>
      <c r="AT4" s="5">
        <f>AVERAGE(V8:V12)</f>
        <v>4.8</v>
      </c>
    </row>
    <row r="5" spans="1:46">
      <c r="A5" s="21"/>
      <c r="B5" t="s">
        <v>9</v>
      </c>
      <c r="C5" s="7">
        <v>6690.4350000000004</v>
      </c>
      <c r="D5" s="7">
        <v>6690.4350000000004</v>
      </c>
      <c r="E5" s="3">
        <f t="shared" si="0"/>
        <v>0</v>
      </c>
      <c r="F5" s="1">
        <v>0</v>
      </c>
      <c r="G5" s="1">
        <v>9</v>
      </c>
      <c r="H5" s="7">
        <v>7324.13</v>
      </c>
      <c r="I5" s="7">
        <v>7324.13</v>
      </c>
      <c r="J5" s="3">
        <f t="shared" si="1"/>
        <v>0</v>
      </c>
      <c r="K5" s="1">
        <v>0</v>
      </c>
      <c r="L5" s="1">
        <v>7</v>
      </c>
      <c r="M5" s="7">
        <v>7797.58</v>
      </c>
      <c r="N5" s="7">
        <v>7796.9188269609804</v>
      </c>
      <c r="O5" s="3">
        <f t="shared" si="2"/>
        <v>8.4792081520107376E-3</v>
      </c>
      <c r="P5" s="1">
        <v>1</v>
      </c>
      <c r="Q5" s="1">
        <v>6</v>
      </c>
      <c r="R5" s="7">
        <v>8191.9</v>
      </c>
      <c r="S5" s="7">
        <v>8191.9</v>
      </c>
      <c r="T5" s="3">
        <f t="shared" si="3"/>
        <v>0</v>
      </c>
      <c r="U5" s="1">
        <v>1</v>
      </c>
      <c r="V5" s="1">
        <v>5</v>
      </c>
      <c r="Y5" s="21"/>
      <c r="Z5" t="s">
        <v>64</v>
      </c>
      <c r="AA5" s="5">
        <f>AVERAGE(C13:C17)</f>
        <v>5564.3229999999994</v>
      </c>
      <c r="AB5">
        <v>5</v>
      </c>
      <c r="AC5" s="5">
        <f>AVERAGE(E13:E17)</f>
        <v>3.2394398950876409E-3</v>
      </c>
      <c r="AD5" s="5">
        <f>AVERAGE(F13:F17)</f>
        <v>0.4</v>
      </c>
      <c r="AE5" s="5">
        <f>AVERAGE(G13:G17)</f>
        <v>13</v>
      </c>
      <c r="AF5" s="5">
        <f>AVERAGE(H13:H17)</f>
        <v>6266.07</v>
      </c>
      <c r="AG5">
        <v>5</v>
      </c>
      <c r="AH5" s="5">
        <f>AVERAGE(J13:J17)</f>
        <v>1.8282227153517982E-3</v>
      </c>
      <c r="AI5" s="5">
        <f>AVERAGE(K13:K17)</f>
        <v>2.2000000000000002</v>
      </c>
      <c r="AJ5" s="5">
        <f>AVERAGE(L13:L17)</f>
        <v>8.4</v>
      </c>
      <c r="AK5" s="5">
        <f>AVERAGE(M13:M17)</f>
        <v>6719.3779999999997</v>
      </c>
      <c r="AL5">
        <v>5</v>
      </c>
      <c r="AM5" s="5">
        <f>AVERAGE(O13:O17)</f>
        <v>3.9388179521463191E-3</v>
      </c>
      <c r="AN5" s="5">
        <f>AVERAGE(P13:P17)</f>
        <v>2.8</v>
      </c>
      <c r="AO5" s="5">
        <f>AVERAGE(Q13:Q17)</f>
        <v>6.4</v>
      </c>
      <c r="AP5" s="5">
        <f>AVERAGE(R13:R17)</f>
        <v>7091.6600000000008</v>
      </c>
      <c r="AQ5">
        <v>5</v>
      </c>
      <c r="AR5" s="5">
        <f>AVERAGE(T13:T17)</f>
        <v>3.954918701554894E-3</v>
      </c>
      <c r="AS5" s="5">
        <f>AVERAGE(U13:U17)</f>
        <v>3</v>
      </c>
      <c r="AT5" s="5">
        <f>AVERAGE(V13:V17)</f>
        <v>6</v>
      </c>
    </row>
    <row r="6" spans="1:46">
      <c r="A6" s="21"/>
      <c r="B6" t="s">
        <v>10</v>
      </c>
      <c r="C6" s="7">
        <v>5830.0050000000001</v>
      </c>
      <c r="D6" s="7">
        <v>5830.0050000000001</v>
      </c>
      <c r="E6" s="3">
        <f t="shared" si="0"/>
        <v>0</v>
      </c>
      <c r="F6" s="1">
        <v>0</v>
      </c>
      <c r="G6" s="1">
        <v>11</v>
      </c>
      <c r="H6" s="7">
        <v>6541.21</v>
      </c>
      <c r="I6" s="7">
        <v>6540.78358511635</v>
      </c>
      <c r="J6" s="3">
        <f t="shared" si="1"/>
        <v>6.5188991585665044E-3</v>
      </c>
      <c r="K6" s="1">
        <v>0</v>
      </c>
      <c r="L6" s="1">
        <v>10</v>
      </c>
      <c r="M6" s="7">
        <v>7062.4549999999999</v>
      </c>
      <c r="N6" s="7">
        <v>7062.4549999999999</v>
      </c>
      <c r="O6" s="3">
        <f t="shared" si="2"/>
        <v>0</v>
      </c>
      <c r="P6" s="1">
        <v>1</v>
      </c>
      <c r="Q6" s="1">
        <v>7</v>
      </c>
      <c r="R6" s="7">
        <v>7394.78</v>
      </c>
      <c r="S6" s="7">
        <v>7394.78</v>
      </c>
      <c r="T6" s="3">
        <f t="shared" si="3"/>
        <v>0</v>
      </c>
      <c r="U6" s="1">
        <v>1</v>
      </c>
      <c r="V6" s="1">
        <v>5</v>
      </c>
      <c r="Y6" s="21"/>
      <c r="Z6" t="s">
        <v>65</v>
      </c>
      <c r="AA6" s="5">
        <f>AVERAGE(C18:C22)</f>
        <v>5378.125</v>
      </c>
      <c r="AB6">
        <v>5</v>
      </c>
      <c r="AC6" s="5">
        <f>AVERAGE(E18:E22)</f>
        <v>4.6292382097625016E-3</v>
      </c>
      <c r="AD6" s="5">
        <f>AVERAGE(F18:F22)</f>
        <v>1.2</v>
      </c>
      <c r="AE6" s="5">
        <f>AVERAGE(G18:G22)</f>
        <v>13.8</v>
      </c>
      <c r="AF6" s="5">
        <f>AVERAGE(H18:H22)</f>
        <v>6129.45</v>
      </c>
      <c r="AG6">
        <v>5</v>
      </c>
      <c r="AH6" s="5">
        <f>AVERAGE(J18:J22)</f>
        <v>6.4514728579527945E-3</v>
      </c>
      <c r="AI6" s="5">
        <f>AVERAGE(K18:K22)</f>
        <v>3.4</v>
      </c>
      <c r="AJ6" s="5">
        <f>AVERAGE(L18:L22)</f>
        <v>9.1999999999999993</v>
      </c>
      <c r="AK6" s="5">
        <f>AVERAGE(M18:M22)</f>
        <v>6590.8049999999976</v>
      </c>
      <c r="AL6">
        <v>5</v>
      </c>
      <c r="AM6" s="5">
        <f>AVERAGE(O18:O22)</f>
        <v>2.817150039198016E-3</v>
      </c>
      <c r="AN6" s="5">
        <f>AVERAGE(P18:P22)</f>
        <v>3.4</v>
      </c>
      <c r="AO6" s="5">
        <f>AVERAGE(Q18:Q22)</f>
        <v>6.4</v>
      </c>
      <c r="AP6" s="5">
        <f>AVERAGE(R18:R22)</f>
        <v>6915.195999999999</v>
      </c>
      <c r="AQ6">
        <v>5</v>
      </c>
      <c r="AR6" s="5">
        <f>AVERAGE(T18:T22)</f>
        <v>8.1096933682332194E-3</v>
      </c>
      <c r="AS6" s="5">
        <f>AVERAGE(U18:U22)</f>
        <v>6</v>
      </c>
      <c r="AT6" s="5">
        <f>AVERAGE(V18:V22)</f>
        <v>5.2</v>
      </c>
    </row>
    <row r="7" spans="1:46">
      <c r="A7" s="21"/>
      <c r="B7" t="s">
        <v>11</v>
      </c>
      <c r="C7" s="7">
        <v>6055.915</v>
      </c>
      <c r="D7" s="7">
        <v>6055.915</v>
      </c>
      <c r="E7" s="3">
        <f t="shared" si="0"/>
        <v>0</v>
      </c>
      <c r="F7" s="1">
        <v>0</v>
      </c>
      <c r="G7" s="1">
        <v>10</v>
      </c>
      <c r="H7" s="7">
        <v>6749.73</v>
      </c>
      <c r="I7" s="7">
        <v>6749.73</v>
      </c>
      <c r="J7" s="3">
        <f t="shared" si="1"/>
        <v>0</v>
      </c>
      <c r="K7" s="1">
        <v>1</v>
      </c>
      <c r="L7" s="1">
        <v>9</v>
      </c>
      <c r="M7" s="7">
        <v>7176.19</v>
      </c>
      <c r="N7" s="7">
        <v>7176.19</v>
      </c>
      <c r="O7" s="3">
        <f t="shared" si="2"/>
        <v>0</v>
      </c>
      <c r="P7" s="1">
        <v>1</v>
      </c>
      <c r="Q7" s="1">
        <v>5</v>
      </c>
      <c r="R7" s="7">
        <v>7517.62</v>
      </c>
      <c r="S7" s="7">
        <v>7517.62</v>
      </c>
      <c r="T7" s="3">
        <f t="shared" si="3"/>
        <v>0</v>
      </c>
      <c r="U7" s="1">
        <v>1</v>
      </c>
      <c r="V7" s="1">
        <v>5</v>
      </c>
      <c r="Y7" s="20" t="s">
        <v>41</v>
      </c>
      <c r="Z7" s="20"/>
      <c r="AB7">
        <f>SUM(AB3:AB6)</f>
        <v>20</v>
      </c>
      <c r="AC7" s="5">
        <f>AVERAGE(AC3:AC6)</f>
        <v>2.4247428039327005E-3</v>
      </c>
      <c r="AD7" s="5">
        <f>AVERAGE(AD3:AD6)</f>
        <v>0.4</v>
      </c>
      <c r="AE7" s="5">
        <f>AVERAGE(AE3:AE6)</f>
        <v>11.850000000000001</v>
      </c>
      <c r="AF7" s="5">
        <f>AVERAGE(AF3:AF6)</f>
        <v>6335.7520000000004</v>
      </c>
      <c r="AG7">
        <f>SUM(AG3:AG6)</f>
        <v>20</v>
      </c>
      <c r="AH7" s="5">
        <f>AVERAGE(AH3:AH6)</f>
        <v>3.2408475407142597E-3</v>
      </c>
      <c r="AI7" s="5">
        <f>AVERAGE(AI3:AI6)</f>
        <v>1.6</v>
      </c>
      <c r="AJ7" s="5">
        <f t="shared" ref="AJ7:AK7" si="4">AVERAGE(AJ3:AJ6)</f>
        <v>8.1499999999999986</v>
      </c>
      <c r="AK7" s="5">
        <f t="shared" si="4"/>
        <v>6776.7424999999994</v>
      </c>
      <c r="AL7">
        <f>SUM(AL3:AL6)</f>
        <v>20</v>
      </c>
      <c r="AM7" s="5">
        <f>AVERAGE(AM3:AM6)</f>
        <v>2.6101115768388259E-3</v>
      </c>
      <c r="AN7" s="5">
        <f>AVERAGE(AN3:AN6)</f>
        <v>2.1</v>
      </c>
      <c r="AO7" s="5">
        <f t="shared" ref="AO7:AP7" si="5">AVERAGE(AO3:AO6)</f>
        <v>6.25</v>
      </c>
      <c r="AP7" s="5">
        <f t="shared" si="5"/>
        <v>7115.6729999999998</v>
      </c>
      <c r="AQ7">
        <f>SUM(AQ3:AQ6)</f>
        <v>20</v>
      </c>
      <c r="AR7" s="5">
        <f>AVERAGE(AR3:AR6)</f>
        <v>3.3294087320297457E-3</v>
      </c>
      <c r="AS7" s="5">
        <f>AVERAGE(AS3:AS6)</f>
        <v>3.1</v>
      </c>
      <c r="AT7" s="5">
        <f>AVERAGE(V23:V27)</f>
        <v>6</v>
      </c>
    </row>
    <row r="8" spans="1:46">
      <c r="A8" s="21" t="s">
        <v>50</v>
      </c>
      <c r="B8" t="s">
        <v>7</v>
      </c>
      <c r="C8" s="7">
        <v>5902.63</v>
      </c>
      <c r="D8" s="7">
        <v>5902.63</v>
      </c>
      <c r="E8" s="3">
        <f t="shared" si="0"/>
        <v>0</v>
      </c>
      <c r="F8" s="1">
        <v>0</v>
      </c>
      <c r="G8" s="1">
        <v>10</v>
      </c>
      <c r="H8" s="7">
        <v>6465.39</v>
      </c>
      <c r="I8" s="7">
        <v>6465.39</v>
      </c>
      <c r="J8" s="3">
        <f t="shared" si="1"/>
        <v>0</v>
      </c>
      <c r="K8" s="1">
        <v>3</v>
      </c>
      <c r="L8" s="1">
        <v>6</v>
      </c>
      <c r="M8" s="7">
        <v>6763.5349999999999</v>
      </c>
      <c r="N8" s="7">
        <v>6762.8624893087299</v>
      </c>
      <c r="O8" s="3">
        <f t="shared" si="2"/>
        <v>9.9431834280441066E-3</v>
      </c>
      <c r="P8" s="1">
        <v>2</v>
      </c>
      <c r="Q8" s="1">
        <v>5</v>
      </c>
      <c r="R8" s="7">
        <v>7042.88</v>
      </c>
      <c r="S8" s="7">
        <v>7042.7948262516502</v>
      </c>
      <c r="T8" s="3">
        <f t="shared" si="3"/>
        <v>1.2093596419350666E-3</v>
      </c>
      <c r="U8" s="1">
        <v>2</v>
      </c>
      <c r="V8" s="1">
        <v>5</v>
      </c>
      <c r="Y8" s="21">
        <v>2</v>
      </c>
      <c r="Z8" t="s">
        <v>62</v>
      </c>
      <c r="AA8" s="5">
        <f>AVERAGE(C23:C27)</f>
        <v>6231.7029999999995</v>
      </c>
      <c r="AB8">
        <v>5</v>
      </c>
      <c r="AC8" s="5">
        <f>AVERAGE(E23:E27)</f>
        <v>1.6178163370916894E-3</v>
      </c>
      <c r="AD8" s="5">
        <f>AVERAGE(F23:F27)</f>
        <v>0.6</v>
      </c>
      <c r="AE8" s="5">
        <f>AVERAGE(G23:G27)</f>
        <v>11.2</v>
      </c>
      <c r="AF8" s="5">
        <f>AVERAGE(H23:H27)</f>
        <v>6916.2959999999994</v>
      </c>
      <c r="AG8">
        <v>5</v>
      </c>
      <c r="AH8" s="5">
        <f>AVERAGE(J23:J27)</f>
        <v>0</v>
      </c>
      <c r="AI8" s="5">
        <f>AVERAGE(K23:K27)</f>
        <v>1.6</v>
      </c>
      <c r="AJ8" s="5">
        <f>AVERAGE(L23:L27)</f>
        <v>8.8000000000000007</v>
      </c>
      <c r="AK8" s="5">
        <f>AVERAGE(M23:M27)</f>
        <v>7410.9820000000009</v>
      </c>
      <c r="AL8">
        <v>5</v>
      </c>
      <c r="AM8" s="5">
        <f>AVERAGE(O23:O27)</f>
        <v>1.2854102945440648E-3</v>
      </c>
      <c r="AN8" s="5">
        <f>AVERAGE(P23:P27)</f>
        <v>2.6</v>
      </c>
      <c r="AO8" s="5">
        <f>AVERAGE(Q23:Q27)</f>
        <v>6.6</v>
      </c>
      <c r="AP8" s="5">
        <f>AVERAGE(R23:R27)</f>
        <v>7803.7199999999993</v>
      </c>
      <c r="AQ8">
        <v>5</v>
      </c>
      <c r="AR8" s="5">
        <f>AVERAGE(T23:T27)</f>
        <v>2.9887908304829314E-3</v>
      </c>
      <c r="AS8" s="5">
        <f>AVERAGE(U23:U27)</f>
        <v>3.6</v>
      </c>
      <c r="AT8" s="5">
        <f>AVERAGE(V28:V32)</f>
        <v>6.2</v>
      </c>
    </row>
    <row r="9" spans="1:46">
      <c r="A9" s="21"/>
      <c r="B9" t="s">
        <v>8</v>
      </c>
      <c r="C9" s="7">
        <v>5502.1</v>
      </c>
      <c r="D9" s="7">
        <v>5502.1</v>
      </c>
      <c r="E9" s="3">
        <f t="shared" si="0"/>
        <v>0</v>
      </c>
      <c r="F9" s="1">
        <v>0</v>
      </c>
      <c r="G9" s="1">
        <v>11</v>
      </c>
      <c r="H9" s="7">
        <v>6132.72</v>
      </c>
      <c r="I9" s="7">
        <v>6132.3551034194197</v>
      </c>
      <c r="J9" s="3">
        <f t="shared" si="1"/>
        <v>5.9499957699117945E-3</v>
      </c>
      <c r="K9" s="1">
        <v>0</v>
      </c>
      <c r="L9" s="1">
        <v>9</v>
      </c>
      <c r="M9" s="7">
        <v>6640.69</v>
      </c>
      <c r="N9" s="7">
        <v>6640.69</v>
      </c>
      <c r="O9" s="3">
        <f t="shared" si="2"/>
        <v>0</v>
      </c>
      <c r="P9" s="1">
        <v>3</v>
      </c>
      <c r="Q9" s="1">
        <v>7</v>
      </c>
      <c r="R9" s="7">
        <v>7004</v>
      </c>
      <c r="S9" s="7">
        <v>7004</v>
      </c>
      <c r="T9" s="3">
        <f t="shared" si="3"/>
        <v>0</v>
      </c>
      <c r="U9" s="1">
        <v>5</v>
      </c>
      <c r="V9" s="1">
        <v>5</v>
      </c>
      <c r="Y9" s="21"/>
      <c r="Z9" t="s">
        <v>63</v>
      </c>
      <c r="AA9" s="5">
        <f>AVERAGE(C28:C32)</f>
        <v>6060.4220000000005</v>
      </c>
      <c r="AB9">
        <v>5</v>
      </c>
      <c r="AC9" s="5">
        <f>AVERAGE(E28:E32)</f>
        <v>2.5429272762767983E-3</v>
      </c>
      <c r="AD9" s="5">
        <f>AVERAGE(F28:F32)</f>
        <v>2</v>
      </c>
      <c r="AE9" s="5">
        <f>AVERAGE(G28:G32)</f>
        <v>11.4</v>
      </c>
      <c r="AF9" s="5">
        <f>AVERAGE(H28:H32)</f>
        <v>6693.8</v>
      </c>
      <c r="AG9">
        <v>5</v>
      </c>
      <c r="AH9" s="5">
        <f>AVERAGE(J28:J32)</f>
        <v>5.0676023276892048E-3</v>
      </c>
      <c r="AI9" s="5">
        <f>AVERAGE(K28:K32)</f>
        <v>4.5999999999999996</v>
      </c>
      <c r="AJ9" s="5">
        <f>AVERAGE(L28:L32)</f>
        <v>8.6</v>
      </c>
      <c r="AK9" s="5">
        <f>AVERAGE(M28:M32)</f>
        <v>7177.0770000000002</v>
      </c>
      <c r="AL9">
        <v>5</v>
      </c>
      <c r="AM9" s="5">
        <f>AVERAGE(O28:O32)</f>
        <v>7.9212042141985316E-3</v>
      </c>
      <c r="AN9" s="5">
        <f>AVERAGE(P28:P32)</f>
        <v>9</v>
      </c>
      <c r="AO9" s="5">
        <f>AVERAGE(Q28:Q32)</f>
        <v>7</v>
      </c>
      <c r="AP9" s="5">
        <f>AVERAGE(R28:R32)</f>
        <v>7578.9320000000007</v>
      </c>
      <c r="AQ9">
        <v>5</v>
      </c>
      <c r="AR9" s="5">
        <f>AVERAGE(T28:T32)</f>
        <v>6.8797574349313455E-3</v>
      </c>
      <c r="AS9" s="5">
        <f>AVERAGE(U28:U32)</f>
        <v>16.600000000000001</v>
      </c>
      <c r="AT9" s="5">
        <f>AVERAGE(V33:V37)</f>
        <v>6.8</v>
      </c>
    </row>
    <row r="10" spans="1:46">
      <c r="A10" s="21"/>
      <c r="B10" t="s">
        <v>9</v>
      </c>
      <c r="C10" s="7">
        <v>5399.81</v>
      </c>
      <c r="D10" s="7">
        <v>5399.81</v>
      </c>
      <c r="E10" s="3">
        <f t="shared" si="0"/>
        <v>0</v>
      </c>
      <c r="F10" s="1">
        <v>0</v>
      </c>
      <c r="G10" s="1">
        <v>11</v>
      </c>
      <c r="H10" s="7">
        <v>6041.25</v>
      </c>
      <c r="I10" s="7">
        <v>6041.25</v>
      </c>
      <c r="J10" s="3">
        <f t="shared" si="1"/>
        <v>0</v>
      </c>
      <c r="K10" s="1">
        <v>0</v>
      </c>
      <c r="L10" s="1">
        <v>7</v>
      </c>
      <c r="M10" s="7">
        <v>6427.8</v>
      </c>
      <c r="N10" s="7">
        <v>6427.8</v>
      </c>
      <c r="O10" s="3">
        <f t="shared" si="2"/>
        <v>0</v>
      </c>
      <c r="P10" s="1">
        <v>1</v>
      </c>
      <c r="Q10" s="1">
        <v>5</v>
      </c>
      <c r="R10" s="7">
        <v>6714</v>
      </c>
      <c r="S10" s="7">
        <v>6714</v>
      </c>
      <c r="T10" s="3">
        <f t="shared" si="3"/>
        <v>0</v>
      </c>
      <c r="U10" s="1">
        <v>2</v>
      </c>
      <c r="V10" s="1">
        <v>5</v>
      </c>
      <c r="Y10" s="21"/>
      <c r="Z10" t="s">
        <v>64</v>
      </c>
      <c r="AA10" s="5">
        <f>AVERAGE(C33:C37)</f>
        <v>5834.32</v>
      </c>
      <c r="AB10">
        <v>5</v>
      </c>
      <c r="AC10" s="5">
        <f>AVERAGE(E33:E37)</f>
        <v>1.636674342317284E-3</v>
      </c>
      <c r="AD10" s="5">
        <f>AVERAGE(F33:F37)</f>
        <v>3.6</v>
      </c>
      <c r="AE10" s="5">
        <f>AVERAGE(G33:G37)</f>
        <v>13.6</v>
      </c>
      <c r="AF10" s="5">
        <f>AVERAGE(H33:H37)</f>
        <v>6651.5859999999984</v>
      </c>
      <c r="AG10">
        <v>5</v>
      </c>
      <c r="AH10" s="5">
        <f>AVERAGE(J33:J37)</f>
        <v>5.2564418084605404E-3</v>
      </c>
      <c r="AI10" s="5">
        <f>AVERAGE(K33:K37)</f>
        <v>8</v>
      </c>
      <c r="AJ10" s="5">
        <f>AVERAGE(L33:L37)</f>
        <v>11</v>
      </c>
      <c r="AK10" s="5">
        <f>AVERAGE(M33:M37)</f>
        <v>7220.15</v>
      </c>
      <c r="AL10">
        <v>5</v>
      </c>
      <c r="AM10" s="5">
        <f>AVERAGE(O33:O37)</f>
        <v>8.7511551884438613E-3</v>
      </c>
      <c r="AN10" s="5">
        <f>AVERAGE(P33:P37)</f>
        <v>15.6</v>
      </c>
      <c r="AO10" s="5">
        <f>AVERAGE(Q33:Q37)</f>
        <v>8.1999999999999993</v>
      </c>
      <c r="AP10" s="5">
        <f>AVERAGE(R33:R37)</f>
        <v>7672.808</v>
      </c>
      <c r="AQ10">
        <v>5</v>
      </c>
      <c r="AR10" s="5">
        <f>AVERAGE(T33:T37)</f>
        <v>8.3101859014812571E-3</v>
      </c>
      <c r="AS10" s="5">
        <f>AVERAGE(U33:U37)</f>
        <v>19.8</v>
      </c>
      <c r="AT10" s="5">
        <f>AVERAGE(V38:V42)</f>
        <v>6.4</v>
      </c>
    </row>
    <row r="11" spans="1:46">
      <c r="A11" s="21"/>
      <c r="B11" t="s">
        <v>10</v>
      </c>
      <c r="C11" s="7">
        <v>5991</v>
      </c>
      <c r="D11" s="7">
        <v>5991</v>
      </c>
      <c r="E11" s="3">
        <f t="shared" si="0"/>
        <v>0</v>
      </c>
      <c r="F11" s="1">
        <v>0</v>
      </c>
      <c r="G11" s="1">
        <v>11</v>
      </c>
      <c r="H11" s="7">
        <v>6481.2</v>
      </c>
      <c r="I11" s="7">
        <v>6481.2</v>
      </c>
      <c r="J11" s="3">
        <f t="shared" si="1"/>
        <v>0</v>
      </c>
      <c r="K11" s="1">
        <v>0</v>
      </c>
      <c r="L11" s="1">
        <v>7</v>
      </c>
      <c r="M11" s="7">
        <v>6898.8</v>
      </c>
      <c r="N11" s="7">
        <v>6898.8</v>
      </c>
      <c r="O11" s="3">
        <f t="shared" si="2"/>
        <v>0</v>
      </c>
      <c r="P11" s="1">
        <v>1</v>
      </c>
      <c r="Q11" s="1">
        <v>7</v>
      </c>
      <c r="R11" s="7">
        <v>7239.78</v>
      </c>
      <c r="S11" s="7">
        <v>7239.6603876314803</v>
      </c>
      <c r="T11" s="3">
        <f t="shared" si="3"/>
        <v>1.6521547411590327E-3</v>
      </c>
      <c r="U11" s="1">
        <v>2</v>
      </c>
      <c r="V11" s="1">
        <v>5</v>
      </c>
      <c r="Y11" s="21"/>
      <c r="Z11" t="s">
        <v>65</v>
      </c>
      <c r="AA11" s="5">
        <f>AVERAGE(C38:C42)</f>
        <v>5632.8909999999996</v>
      </c>
      <c r="AB11">
        <v>5</v>
      </c>
      <c r="AC11" s="5">
        <f>AVERAGE(E38:E42)</f>
        <v>2.3343654902973801E-3</v>
      </c>
      <c r="AD11" s="5">
        <f>AVERAGE(F38:F42)</f>
        <v>7</v>
      </c>
      <c r="AE11" s="5">
        <f>AVERAGE(G38:G42)</f>
        <v>14.8</v>
      </c>
      <c r="AF11" s="5">
        <f>AVERAGE(H38:H42)</f>
        <v>6465.5280000000002</v>
      </c>
      <c r="AG11">
        <v>5</v>
      </c>
      <c r="AH11" s="5">
        <f>AVERAGE(J38:J42)</f>
        <v>8.4410768141372963E-3</v>
      </c>
      <c r="AI11" s="5">
        <f>AVERAGE(K38:K42)</f>
        <v>12.8</v>
      </c>
      <c r="AJ11" s="5">
        <f>AVERAGE(L38:L42)</f>
        <v>10.6</v>
      </c>
      <c r="AK11" s="5">
        <f>AVERAGE(M38:M42)</f>
        <v>7015.8570000000009</v>
      </c>
      <c r="AL11">
        <v>5</v>
      </c>
      <c r="AM11" s="5">
        <f>AVERAGE(O38:O42)</f>
        <v>9.5493704160196646E-3</v>
      </c>
      <c r="AN11" s="5">
        <f>AVERAGE(P38:P42)</f>
        <v>23.8</v>
      </c>
      <c r="AO11" s="5">
        <f>AVERAGE(Q38:Q42)</f>
        <v>8.4</v>
      </c>
      <c r="AP11" s="5">
        <f>AVERAGE(R38:R42)</f>
        <v>7436.6119999999983</v>
      </c>
      <c r="AQ11">
        <v>5</v>
      </c>
      <c r="AR11" s="5">
        <f>AVERAGE(T38:T42)</f>
        <v>9.3983939552884262E-3</v>
      </c>
      <c r="AS11" s="5">
        <f>AVERAGE(U38:U42)</f>
        <v>46.6</v>
      </c>
      <c r="AT11" s="5">
        <f>AVERAGE(V43:V47)</f>
        <v>7.4</v>
      </c>
    </row>
    <row r="12" spans="1:46">
      <c r="A12" s="21"/>
      <c r="B12" t="s">
        <v>11</v>
      </c>
      <c r="C12" s="7">
        <v>6028.8</v>
      </c>
      <c r="D12" s="7">
        <v>6028.8</v>
      </c>
      <c r="E12" s="3">
        <f t="shared" si="0"/>
        <v>0</v>
      </c>
      <c r="F12" s="1">
        <v>0</v>
      </c>
      <c r="G12" s="1">
        <v>11</v>
      </c>
      <c r="H12" s="7">
        <v>6650.95</v>
      </c>
      <c r="I12" s="7">
        <v>6650.95</v>
      </c>
      <c r="J12" s="3">
        <f t="shared" si="1"/>
        <v>0</v>
      </c>
      <c r="K12" s="1">
        <v>0</v>
      </c>
      <c r="L12" s="1">
        <v>6</v>
      </c>
      <c r="M12" s="7">
        <v>7039.375</v>
      </c>
      <c r="N12" s="7">
        <v>7039.375</v>
      </c>
      <c r="O12" s="3">
        <f t="shared" si="2"/>
        <v>0</v>
      </c>
      <c r="P12" s="1">
        <v>0</v>
      </c>
      <c r="Q12" s="1">
        <v>6</v>
      </c>
      <c r="R12" s="7">
        <v>7392.78</v>
      </c>
      <c r="S12" s="7">
        <v>7392.5283793466797</v>
      </c>
      <c r="T12" s="3">
        <f t="shared" si="3"/>
        <v>3.4035999085602472E-3</v>
      </c>
      <c r="U12" s="1">
        <v>1</v>
      </c>
      <c r="V12" s="1">
        <v>4</v>
      </c>
      <c r="Y12" s="20" t="s">
        <v>41</v>
      </c>
      <c r="Z12" s="20"/>
      <c r="AA12" s="5">
        <f>AVERAGE(AA8:AA11)</f>
        <v>5939.8339999999998</v>
      </c>
      <c r="AB12">
        <f>SUM(AB8:AB11)</f>
        <v>20</v>
      </c>
      <c r="AC12" s="5">
        <f>AVERAGE(AC8:AC11)</f>
        <v>2.0329458614957879E-3</v>
      </c>
      <c r="AD12" s="5">
        <f>AVERAGE(AD8:AD11)</f>
        <v>3.3</v>
      </c>
      <c r="AE12" s="5">
        <f t="shared" ref="AE12" si="6">AVERAGE(AE8:AE11)</f>
        <v>12.75</v>
      </c>
      <c r="AF12" s="5">
        <f>AVERAGE(AF8:AF11)</f>
        <v>6681.8024999999998</v>
      </c>
      <c r="AG12">
        <f>SUM(AG8:AG11)</f>
        <v>20</v>
      </c>
      <c r="AH12" s="5">
        <f>AVERAGE(AH8:AH11)</f>
        <v>4.6912802375717599E-3</v>
      </c>
      <c r="AI12" s="5">
        <f>AVERAGE(AI8:AI11)</f>
        <v>6.75</v>
      </c>
      <c r="AJ12" s="5">
        <f t="shared" ref="AJ12" si="7">AVERAGE(AJ8:AJ11)</f>
        <v>9.75</v>
      </c>
      <c r="AK12" s="5">
        <f>AVERAGE(AK8:AK11)</f>
        <v>7206.0165000000006</v>
      </c>
      <c r="AL12">
        <f>SUM(AL8:AL11)</f>
        <v>20</v>
      </c>
      <c r="AM12" s="5">
        <f>AVERAGE(AM8:AM11)</f>
        <v>6.8767850283015311E-3</v>
      </c>
      <c r="AN12" s="5">
        <f>AVERAGE(AN8:AN11)</f>
        <v>12.75</v>
      </c>
      <c r="AO12" s="5">
        <f t="shared" ref="AO12" si="8">AVERAGE(AO8:AO11)</f>
        <v>7.5499999999999989</v>
      </c>
      <c r="AP12" s="5">
        <f>AVERAGE(AP8:AP11)</f>
        <v>7623.0179999999991</v>
      </c>
      <c r="AQ12">
        <f>SUM(AQ8:AQ11)</f>
        <v>20</v>
      </c>
      <c r="AR12" s="5">
        <f>AVERAGE(AR8:AR11)</f>
        <v>6.8942820305459901E-3</v>
      </c>
      <c r="AS12" s="5">
        <f>AVERAGE(AS8:AS11)</f>
        <v>21.65</v>
      </c>
      <c r="AT12" s="5">
        <f t="shared" ref="AT12" si="9">AVERAGE(AT8:AT11)</f>
        <v>6.6999999999999993</v>
      </c>
    </row>
    <row r="13" spans="1:46">
      <c r="A13" s="21" t="s">
        <v>51</v>
      </c>
      <c r="B13" t="s">
        <v>7</v>
      </c>
      <c r="C13" s="7">
        <v>5517.4650000000001</v>
      </c>
      <c r="D13" s="7">
        <v>5517.4650000000001</v>
      </c>
      <c r="E13" s="3">
        <f t="shared" si="0"/>
        <v>0</v>
      </c>
      <c r="F13" s="1">
        <v>1</v>
      </c>
      <c r="G13" s="1">
        <v>13</v>
      </c>
      <c r="H13" s="7">
        <v>6341.09</v>
      </c>
      <c r="I13" s="7">
        <v>6341.09</v>
      </c>
      <c r="J13" s="3">
        <f t="shared" si="1"/>
        <v>0</v>
      </c>
      <c r="K13" s="1">
        <v>1</v>
      </c>
      <c r="L13" s="1">
        <v>11</v>
      </c>
      <c r="M13" s="7">
        <v>6958.335</v>
      </c>
      <c r="N13" s="7">
        <v>6957.9220522955902</v>
      </c>
      <c r="O13" s="3">
        <f t="shared" si="2"/>
        <v>5.9345763664700917E-3</v>
      </c>
      <c r="P13" s="1">
        <v>2</v>
      </c>
      <c r="Q13" s="1">
        <v>8</v>
      </c>
      <c r="R13" s="7">
        <v>7434.36</v>
      </c>
      <c r="S13" s="7">
        <v>7433.68</v>
      </c>
      <c r="T13" s="3">
        <f t="shared" si="3"/>
        <v>9.1467187491509911E-3</v>
      </c>
      <c r="U13" s="1">
        <v>4</v>
      </c>
      <c r="V13" s="1">
        <v>7</v>
      </c>
      <c r="Y13" s="21">
        <v>3</v>
      </c>
      <c r="Z13" t="s">
        <v>62</v>
      </c>
      <c r="AA13" s="5">
        <f>AVERAGE(C43:C47)</f>
        <v>6551.5680000000011</v>
      </c>
      <c r="AB13">
        <v>5</v>
      </c>
      <c r="AC13" s="5">
        <f t="shared" ref="AC13:AF14" si="10">AVERAGE(E43:E47)</f>
        <v>0</v>
      </c>
      <c r="AD13" s="5">
        <f t="shared" si="10"/>
        <v>1.8</v>
      </c>
      <c r="AE13" s="5">
        <f t="shared" si="10"/>
        <v>11.6</v>
      </c>
      <c r="AF13" s="5">
        <f t="shared" si="10"/>
        <v>7303.1639999999998</v>
      </c>
      <c r="AG13">
        <v>5</v>
      </c>
      <c r="AH13" s="5">
        <f t="shared" ref="AH13:AK14" si="11">AVERAGE(J43:J47)</f>
        <v>1.9459622306712235E-3</v>
      </c>
      <c r="AI13" s="5">
        <f t="shared" si="11"/>
        <v>3.4</v>
      </c>
      <c r="AJ13" s="5">
        <f t="shared" si="11"/>
        <v>10</v>
      </c>
      <c r="AK13" s="5">
        <f t="shared" si="11"/>
        <v>7890.4160000000002</v>
      </c>
      <c r="AL13">
        <v>5</v>
      </c>
      <c r="AM13" s="5">
        <f t="shared" ref="AM13:AP14" si="12">AVERAGE(O43:O47)</f>
        <v>0</v>
      </c>
      <c r="AN13" s="5">
        <f t="shared" si="12"/>
        <v>4.8</v>
      </c>
      <c r="AO13" s="5">
        <f t="shared" si="12"/>
        <v>8</v>
      </c>
      <c r="AP13" s="5">
        <f t="shared" si="12"/>
        <v>8379.7000000000007</v>
      </c>
      <c r="AQ13">
        <v>5</v>
      </c>
      <c r="AR13" s="5">
        <f>AVERAGE(T43:T47)</f>
        <v>1.1390234785446985E-3</v>
      </c>
      <c r="AS13" s="5">
        <f>AVERAGE(U43:U47)</f>
        <v>5.2</v>
      </c>
      <c r="AT13" s="5">
        <f>AVERAGE(V53:V57)</f>
        <v>8</v>
      </c>
    </row>
    <row r="14" spans="1:46">
      <c r="A14" s="21"/>
      <c r="B14" t="s">
        <v>8</v>
      </c>
      <c r="C14" s="7">
        <v>5647.71</v>
      </c>
      <c r="D14" s="7">
        <v>5647.1786540600697</v>
      </c>
      <c r="E14" s="3">
        <f t="shared" si="0"/>
        <v>9.4081661404420737E-3</v>
      </c>
      <c r="F14" s="1">
        <v>0</v>
      </c>
      <c r="G14" s="1">
        <v>14</v>
      </c>
      <c r="H14" s="7">
        <v>6344.96</v>
      </c>
      <c r="I14" s="7">
        <v>6344.38</v>
      </c>
      <c r="J14" s="3">
        <f t="shared" si="1"/>
        <v>9.1411135767589906E-3</v>
      </c>
      <c r="K14" s="1">
        <v>2</v>
      </c>
      <c r="L14" s="1">
        <v>7</v>
      </c>
      <c r="M14" s="7">
        <v>6756.8649999999998</v>
      </c>
      <c r="N14" s="7">
        <v>6756.8649999999998</v>
      </c>
      <c r="O14" s="3">
        <f t="shared" si="2"/>
        <v>0</v>
      </c>
      <c r="P14" s="1">
        <v>1</v>
      </c>
      <c r="Q14" s="1">
        <v>5</v>
      </c>
      <c r="R14" s="7">
        <v>7049.8</v>
      </c>
      <c r="S14" s="7">
        <v>7049.8</v>
      </c>
      <c r="T14" s="3">
        <f t="shared" si="3"/>
        <v>0</v>
      </c>
      <c r="U14" s="1">
        <v>3</v>
      </c>
      <c r="V14" s="1">
        <v>5</v>
      </c>
      <c r="Y14" s="21"/>
      <c r="Z14" t="s">
        <v>63</v>
      </c>
      <c r="AA14" s="5">
        <f>AVERAGE(C44:C48)</f>
        <v>6573.340000000002</v>
      </c>
      <c r="AB14">
        <v>5</v>
      </c>
      <c r="AC14" s="5">
        <f t="shared" si="10"/>
        <v>0</v>
      </c>
      <c r="AD14" s="5">
        <f t="shared" si="10"/>
        <v>4.2</v>
      </c>
      <c r="AE14" s="5">
        <f t="shared" si="10"/>
        <v>11.8</v>
      </c>
      <c r="AF14" s="5">
        <f t="shared" si="10"/>
        <v>7335.0940000000001</v>
      </c>
      <c r="AG14">
        <v>5</v>
      </c>
      <c r="AH14" s="5">
        <f t="shared" si="11"/>
        <v>2.1335178965518338E-3</v>
      </c>
      <c r="AI14" s="5">
        <f t="shared" si="11"/>
        <v>9.4</v>
      </c>
      <c r="AJ14" s="5">
        <f t="shared" si="11"/>
        <v>10.199999999999999</v>
      </c>
      <c r="AK14" s="5">
        <f t="shared" si="11"/>
        <v>7910.3609999999999</v>
      </c>
      <c r="AL14">
        <v>5</v>
      </c>
      <c r="AM14" s="5">
        <f t="shared" si="12"/>
        <v>1.930249883816098E-3</v>
      </c>
      <c r="AN14" s="5">
        <f t="shared" si="12"/>
        <v>8.8000000000000007</v>
      </c>
      <c r="AO14" s="5">
        <f t="shared" si="12"/>
        <v>7.4</v>
      </c>
      <c r="AP14" s="5">
        <f t="shared" si="12"/>
        <v>8375.76</v>
      </c>
      <c r="AQ14">
        <v>5</v>
      </c>
      <c r="AR14" s="5">
        <f>AVERAGE(T44:T48)</f>
        <v>2.7820713323097475E-3</v>
      </c>
      <c r="AS14" s="5">
        <f>AVERAGE(U44:U48)</f>
        <v>9.8000000000000007</v>
      </c>
      <c r="AT14" s="5">
        <f>AVERAGE(V58:V62)</f>
        <v>7.6</v>
      </c>
    </row>
    <row r="15" spans="1:46">
      <c r="A15" s="21"/>
      <c r="B15" t="s">
        <v>9</v>
      </c>
      <c r="C15" s="7">
        <v>5459.4049999999997</v>
      </c>
      <c r="D15" s="7">
        <v>5459.4049999999997</v>
      </c>
      <c r="E15" s="3">
        <f t="shared" si="0"/>
        <v>0</v>
      </c>
      <c r="F15" s="1">
        <v>1</v>
      </c>
      <c r="G15" s="1">
        <v>13</v>
      </c>
      <c r="H15" s="7">
        <v>6157.91</v>
      </c>
      <c r="I15" s="7">
        <v>6157.91</v>
      </c>
      <c r="J15" s="3">
        <f t="shared" si="1"/>
        <v>0</v>
      </c>
      <c r="K15" s="1">
        <v>2</v>
      </c>
      <c r="L15" s="1">
        <v>9</v>
      </c>
      <c r="M15" s="7">
        <v>6609.4</v>
      </c>
      <c r="N15" s="7">
        <v>6609.1777994367903</v>
      </c>
      <c r="O15" s="3">
        <f t="shared" si="2"/>
        <v>3.3618870579674208E-3</v>
      </c>
      <c r="P15" s="1">
        <v>4</v>
      </c>
      <c r="Q15" s="1">
        <v>7</v>
      </c>
      <c r="R15" s="7">
        <v>7009.9</v>
      </c>
      <c r="S15" s="7">
        <v>7009.7513049212203</v>
      </c>
      <c r="T15" s="3">
        <f t="shared" si="3"/>
        <v>2.1212154064877251E-3</v>
      </c>
      <c r="U15" s="1">
        <v>5</v>
      </c>
      <c r="V15" s="1">
        <v>7</v>
      </c>
      <c r="Y15" s="21"/>
      <c r="Z15" t="s">
        <v>64</v>
      </c>
      <c r="AA15" s="5">
        <f>AVERAGE(C53:C57)</f>
        <v>6086.2709999999979</v>
      </c>
      <c r="AB15">
        <v>5</v>
      </c>
      <c r="AC15" s="5">
        <f>AVERAGE(E53:E57)</f>
        <v>1.4880425148133462E-3</v>
      </c>
      <c r="AD15" s="5">
        <f>AVERAGE(F53:F57)</f>
        <v>21.4</v>
      </c>
      <c r="AE15" s="5">
        <f>AVERAGE(G53:G57)</f>
        <v>15.2</v>
      </c>
      <c r="AF15" s="5">
        <f>AVERAGE(H53:H57)</f>
        <v>6981.38</v>
      </c>
      <c r="AG15">
        <v>5</v>
      </c>
      <c r="AH15" s="5">
        <f>AVERAGE(J53:J57)</f>
        <v>7.1197988333616662E-3</v>
      </c>
      <c r="AI15" s="5">
        <f>AVERAGE(K53:K57)</f>
        <v>40.4</v>
      </c>
      <c r="AJ15" s="5">
        <f>AVERAGE(L53:L57)</f>
        <v>11.8</v>
      </c>
      <c r="AK15" s="5">
        <f>AVERAGE(M53:M57)</f>
        <v>7658.724000000002</v>
      </c>
      <c r="AL15">
        <v>5</v>
      </c>
      <c r="AM15" s="5">
        <f>AVERAGE(O53:O57)</f>
        <v>8.8002845083213297E-3</v>
      </c>
      <c r="AN15" s="5">
        <f>AVERAGE(P53:P57)</f>
        <v>154.80000000000001</v>
      </c>
      <c r="AO15" s="5">
        <f>AVERAGE(Q53:Q57)</f>
        <v>9.6</v>
      </c>
      <c r="AP15" s="5">
        <f>AVERAGE(R53:R57)</f>
        <v>8175.4719999999998</v>
      </c>
      <c r="AQ15">
        <v>5</v>
      </c>
      <c r="AR15" s="5">
        <f>AVERAGE(T53:T57)</f>
        <v>9.3522212564886194E-3</v>
      </c>
      <c r="AS15" s="5">
        <f>AVERAGE(U53:U57)</f>
        <v>118</v>
      </c>
      <c r="AT15" s="5">
        <f>AVERAGE(V63:V67)</f>
        <v>8.4</v>
      </c>
    </row>
    <row r="16" spans="1:46">
      <c r="A16" s="21"/>
      <c r="B16" t="s">
        <v>10</v>
      </c>
      <c r="C16" s="7">
        <v>5891.8549999999996</v>
      </c>
      <c r="D16" s="7">
        <v>5891.4549999999999</v>
      </c>
      <c r="E16" s="3">
        <f t="shared" si="0"/>
        <v>6.7890333349961297E-3</v>
      </c>
      <c r="F16" s="1">
        <v>0</v>
      </c>
      <c r="G16" s="1">
        <v>13</v>
      </c>
      <c r="H16" s="7">
        <v>6593.95</v>
      </c>
      <c r="I16" s="7">
        <v>6593.95</v>
      </c>
      <c r="J16" s="3">
        <f t="shared" si="1"/>
        <v>0</v>
      </c>
      <c r="K16" s="1">
        <v>3</v>
      </c>
      <c r="L16" s="1">
        <v>7</v>
      </c>
      <c r="M16" s="7">
        <v>6965.18</v>
      </c>
      <c r="N16" s="7">
        <v>6965.0255171283998</v>
      </c>
      <c r="O16" s="3">
        <f t="shared" si="2"/>
        <v>2.2179307871515353E-3</v>
      </c>
      <c r="P16" s="1">
        <v>2</v>
      </c>
      <c r="Q16" s="1">
        <v>6</v>
      </c>
      <c r="R16" s="7">
        <v>7317.56</v>
      </c>
      <c r="S16" s="7">
        <v>7317.0300638123799</v>
      </c>
      <c r="T16" s="3">
        <f t="shared" si="3"/>
        <v>7.2419793977839394E-3</v>
      </c>
      <c r="U16" s="1">
        <v>2</v>
      </c>
      <c r="V16" s="1">
        <v>5</v>
      </c>
      <c r="Y16" s="21"/>
      <c r="Z16" t="s">
        <v>65</v>
      </c>
      <c r="AA16" s="5">
        <f>AVERAGE(C58:C62)</f>
        <v>5854.0759999999991</v>
      </c>
      <c r="AB16">
        <v>5</v>
      </c>
      <c r="AC16" s="5">
        <f>AVERAGE(E58:E62)</f>
        <v>7.0239310156338438E-3</v>
      </c>
      <c r="AD16" s="5">
        <f>AVERAGE(F58:F62)</f>
        <v>53.4</v>
      </c>
      <c r="AE16" s="5">
        <f>AVERAGE(G58:G62)</f>
        <v>15</v>
      </c>
      <c r="AF16" s="5">
        <f>AVERAGE(H58:H62)</f>
        <v>6770.366</v>
      </c>
      <c r="AG16">
        <v>5</v>
      </c>
      <c r="AH16" s="5">
        <f>AVERAGE(J58:J62)</f>
        <v>9.4416111758959705E-3</v>
      </c>
      <c r="AI16" s="5">
        <f>AVERAGE(K58:K62)</f>
        <v>57.4</v>
      </c>
      <c r="AJ16" s="5">
        <f>AVERAGE(L58:L62)</f>
        <v>12.2</v>
      </c>
      <c r="AK16" s="5">
        <f>AVERAGE(M58:M62)</f>
        <v>7427.4369999999999</v>
      </c>
      <c r="AL16">
        <v>5</v>
      </c>
      <c r="AM16" s="5">
        <f>AVERAGE(O58:O62)</f>
        <v>9.5445856001471797E-3</v>
      </c>
      <c r="AN16" s="5">
        <f>AVERAGE(P58:P62)</f>
        <v>151.80000000000001</v>
      </c>
      <c r="AO16" s="5">
        <f>AVERAGE(Q58:Q62)</f>
        <v>9</v>
      </c>
      <c r="AP16" s="5">
        <f>AVERAGE(R58:R62)</f>
        <v>7923.6080000000002</v>
      </c>
      <c r="AQ16">
        <v>5</v>
      </c>
      <c r="AR16" s="5">
        <f>AVERAGE(T58:T62)</f>
        <v>9.7853554347408778E-3</v>
      </c>
      <c r="AS16" s="5">
        <f>AVERAGE(U58:U62)</f>
        <v>326.39999999999998</v>
      </c>
      <c r="AT16" s="5">
        <f>AVERAGE(V68:V72)</f>
        <v>9</v>
      </c>
    </row>
    <row r="17" spans="1:46">
      <c r="A17" s="21"/>
      <c r="B17" t="s">
        <v>11</v>
      </c>
      <c r="C17" s="7">
        <v>5305.18</v>
      </c>
      <c r="D17" s="7">
        <v>5305.18</v>
      </c>
      <c r="E17" s="3">
        <f t="shared" si="0"/>
        <v>0</v>
      </c>
      <c r="F17" s="1">
        <v>0</v>
      </c>
      <c r="G17" s="1">
        <v>12</v>
      </c>
      <c r="H17" s="7">
        <v>5892.44</v>
      </c>
      <c r="I17" s="7">
        <v>5892.44</v>
      </c>
      <c r="J17" s="3">
        <f t="shared" si="1"/>
        <v>0</v>
      </c>
      <c r="K17" s="1">
        <v>3</v>
      </c>
      <c r="L17" s="1">
        <v>8</v>
      </c>
      <c r="M17" s="7">
        <v>6307.11</v>
      </c>
      <c r="N17" s="7">
        <v>6306.5940976040501</v>
      </c>
      <c r="O17" s="3">
        <f t="shared" si="2"/>
        <v>8.1796955491425464E-3</v>
      </c>
      <c r="P17" s="1">
        <v>5</v>
      </c>
      <c r="Q17" s="1">
        <v>6</v>
      </c>
      <c r="R17" s="7">
        <v>6646.68</v>
      </c>
      <c r="S17" s="7">
        <v>6646.5959407704104</v>
      </c>
      <c r="T17" s="3">
        <f t="shared" si="3"/>
        <v>1.2646799543518179E-3</v>
      </c>
      <c r="U17" s="1">
        <v>1</v>
      </c>
      <c r="V17" s="1">
        <v>6</v>
      </c>
      <c r="Y17" s="20" t="s">
        <v>41</v>
      </c>
      <c r="Z17" s="20"/>
      <c r="AA17" s="5">
        <f>AVERAGE(AA13:AA16)</f>
        <v>6266.3137499999993</v>
      </c>
      <c r="AB17">
        <f>SUM(AB13:AB16)</f>
        <v>20</v>
      </c>
      <c r="AC17" s="5">
        <f>AVERAGE(AC13:AC16)</f>
        <v>2.1279933826117976E-3</v>
      </c>
      <c r="AD17" s="5">
        <f>AVERAGE(AD13:AD16)</f>
        <v>20.2</v>
      </c>
      <c r="AE17" s="5">
        <f t="shared" ref="AE17" si="13">AVERAGE(AE13:AE16)</f>
        <v>13.399999999999999</v>
      </c>
      <c r="AF17" s="5">
        <f>AVERAGE(AF13:AF16)</f>
        <v>7097.5010000000002</v>
      </c>
      <c r="AG17">
        <f>SUM(AG13:AG16)</f>
        <v>20</v>
      </c>
      <c r="AH17" s="5">
        <f>AVERAGE(AH13:AH16)</f>
        <v>5.1602225341201733E-3</v>
      </c>
      <c r="AI17" s="5">
        <f>AVERAGE(AI13:AI16)</f>
        <v>27.65</v>
      </c>
      <c r="AJ17" s="5">
        <f t="shared" ref="AJ17" si="14">AVERAGE(AJ13:AJ16)</f>
        <v>11.05</v>
      </c>
      <c r="AK17" s="5">
        <f>AVERAGE(AK13:AK16)</f>
        <v>7721.7345000000005</v>
      </c>
      <c r="AL17">
        <f>SUM(AL13:AL16)</f>
        <v>20</v>
      </c>
      <c r="AM17" s="5">
        <f>AVERAGE(AM13:AM16)</f>
        <v>5.0687799980711525E-3</v>
      </c>
      <c r="AN17" s="5">
        <f>AVERAGE(AN13:AN16)</f>
        <v>80.050000000000011</v>
      </c>
      <c r="AO17" s="5">
        <f t="shared" ref="AO17" si="15">AVERAGE(AO13:AO16)</f>
        <v>8.5</v>
      </c>
      <c r="AP17" s="5">
        <f>AVERAGE(AP13:AP16)</f>
        <v>8213.6350000000002</v>
      </c>
      <c r="AQ17">
        <f>SUM(AQ13:AQ16)</f>
        <v>20</v>
      </c>
      <c r="AR17" s="5">
        <f>AVERAGE(AR13:AR16)</f>
        <v>5.7646678755209858E-3</v>
      </c>
      <c r="AS17" s="5">
        <f>AVERAGE(AS13:AS16)</f>
        <v>114.85</v>
      </c>
      <c r="AT17" s="5">
        <f t="shared" ref="AT17" si="16">AVERAGE(AT13:AT16)</f>
        <v>8.25</v>
      </c>
    </row>
    <row r="18" spans="1:46">
      <c r="A18" s="21" t="s">
        <v>52</v>
      </c>
      <c r="B18" t="s">
        <v>7</v>
      </c>
      <c r="C18" s="7">
        <v>5418.08</v>
      </c>
      <c r="D18" s="7">
        <v>5418.08</v>
      </c>
      <c r="E18" s="3">
        <f t="shared" si="0"/>
        <v>0</v>
      </c>
      <c r="F18" s="1">
        <v>0</v>
      </c>
      <c r="G18" s="1">
        <v>12</v>
      </c>
      <c r="H18" s="7">
        <v>6142.82</v>
      </c>
      <c r="I18" s="7">
        <v>6142.3978698137098</v>
      </c>
      <c r="J18" s="3">
        <f t="shared" si="1"/>
        <v>6.8719283047510007E-3</v>
      </c>
      <c r="K18" s="1">
        <v>5</v>
      </c>
      <c r="L18" s="1">
        <v>8</v>
      </c>
      <c r="M18" s="7">
        <v>6489.65</v>
      </c>
      <c r="N18" s="7">
        <v>6489.5550000000003</v>
      </c>
      <c r="O18" s="3">
        <f t="shared" si="2"/>
        <v>1.4638693920218375E-3</v>
      </c>
      <c r="P18" s="1">
        <v>5</v>
      </c>
      <c r="Q18" s="1">
        <v>5</v>
      </c>
      <c r="R18" s="7">
        <v>6777.2</v>
      </c>
      <c r="S18" s="7">
        <v>6776.5738934208002</v>
      </c>
      <c r="T18" s="3">
        <f t="shared" si="3"/>
        <v>9.2384255916836775E-3</v>
      </c>
      <c r="U18" s="1">
        <v>8</v>
      </c>
      <c r="V18" s="1">
        <v>5</v>
      </c>
      <c r="Y18" s="21">
        <v>4</v>
      </c>
      <c r="Z18" t="s">
        <v>62</v>
      </c>
      <c r="AA18" s="5">
        <f>AVERAGE(C63:C67)</f>
        <v>6928.7049999999999</v>
      </c>
      <c r="AB18">
        <v>5</v>
      </c>
      <c r="AC18" s="5">
        <f>AVERAGE(E63:E67)</f>
        <v>0</v>
      </c>
      <c r="AD18" s="5">
        <f>AVERAGE(F63:F67)</f>
        <v>4.4000000000000004</v>
      </c>
      <c r="AE18" s="5">
        <f>AVERAGE(G63:G67)</f>
        <v>12.4</v>
      </c>
      <c r="AF18" s="5">
        <f>AVERAGE(H63:H67)</f>
        <v>7779.3940000000002</v>
      </c>
      <c r="AG18">
        <v>5</v>
      </c>
      <c r="AH18" s="5">
        <f>AVERAGE(J63:J67)</f>
        <v>9.9175918787200099E-4</v>
      </c>
      <c r="AI18" s="5">
        <f>AVERAGE(K63:K67)</f>
        <v>7.6</v>
      </c>
      <c r="AJ18" s="5">
        <f>AVERAGE(L63:L67)</f>
        <v>11.2</v>
      </c>
      <c r="AK18" s="5">
        <f>AVERAGE(M63:M67)</f>
        <v>8465.882999999998</v>
      </c>
      <c r="AL18">
        <v>5</v>
      </c>
      <c r="AM18" s="5">
        <f>AVERAGE(O63:O67)</f>
        <v>1.2873193716398338E-3</v>
      </c>
      <c r="AN18" s="5">
        <f>AVERAGE(P63:P67)</f>
        <v>9.6</v>
      </c>
      <c r="AO18" s="5">
        <f>AVERAGE(Q63:Q67)</f>
        <v>9.4</v>
      </c>
      <c r="AP18" s="5">
        <f>AVERAGE(R63:R67)</f>
        <v>9055.2760000000017</v>
      </c>
      <c r="AQ18">
        <v>5</v>
      </c>
      <c r="AR18" s="5">
        <f>AVERAGE(T63:T67)</f>
        <v>0</v>
      </c>
      <c r="AS18" s="5">
        <f>AVERAGE(U63:U67)</f>
        <v>15.8</v>
      </c>
      <c r="AT18" s="5">
        <f>AVERAGE(V78:V82)</f>
        <v>9</v>
      </c>
    </row>
    <row r="19" spans="1:46">
      <c r="A19" s="21"/>
      <c r="B19" t="s">
        <v>8</v>
      </c>
      <c r="C19" s="7">
        <v>5474.7150000000001</v>
      </c>
      <c r="D19" s="7">
        <v>5474.2562358625</v>
      </c>
      <c r="E19" s="3">
        <f t="shared" si="0"/>
        <v>8.3796898560036682E-3</v>
      </c>
      <c r="F19" s="1">
        <v>1</v>
      </c>
      <c r="G19" s="1">
        <v>14</v>
      </c>
      <c r="H19" s="7">
        <v>6243.05</v>
      </c>
      <c r="I19" s="7">
        <v>6243.05</v>
      </c>
      <c r="J19" s="3">
        <f t="shared" si="1"/>
        <v>0</v>
      </c>
      <c r="K19" s="1">
        <v>4</v>
      </c>
      <c r="L19" s="1">
        <v>9</v>
      </c>
      <c r="M19" s="7">
        <v>6705.36</v>
      </c>
      <c r="N19" s="7">
        <v>6705.0025288941297</v>
      </c>
      <c r="O19" s="3">
        <f t="shared" si="2"/>
        <v>5.3311247400585566E-3</v>
      </c>
      <c r="P19" s="1">
        <v>3</v>
      </c>
      <c r="Q19" s="1">
        <v>6</v>
      </c>
      <c r="R19" s="7">
        <v>7058.28</v>
      </c>
      <c r="S19" s="7">
        <v>7057.5765899027301</v>
      </c>
      <c r="T19" s="3">
        <f t="shared" si="3"/>
        <v>9.9657437402543552E-3</v>
      </c>
      <c r="U19" s="1">
        <v>8</v>
      </c>
      <c r="V19" s="1">
        <v>6</v>
      </c>
      <c r="Y19" s="21"/>
      <c r="Z19" t="s">
        <v>63</v>
      </c>
      <c r="AA19" s="5">
        <f>AVERAGE(C68:C72)</f>
        <v>6573.8220000000001</v>
      </c>
      <c r="AB19">
        <v>5</v>
      </c>
      <c r="AC19" s="5">
        <f>AVERAGE(E68:E72)</f>
        <v>6.308264533713301E-3</v>
      </c>
      <c r="AD19" s="5">
        <f>AVERAGE(F68:F72)</f>
        <v>46</v>
      </c>
      <c r="AE19" s="5">
        <f>AVERAGE(G68:G72)</f>
        <v>13.4</v>
      </c>
      <c r="AF19" s="5">
        <f>AVERAGE(H68:H72)</f>
        <v>7390.1600000000008</v>
      </c>
      <c r="AG19">
        <v>5</v>
      </c>
      <c r="AH19" s="5">
        <f>AVERAGE(J68:J72)</f>
        <v>8.3193808316784461E-3</v>
      </c>
      <c r="AI19" s="5">
        <f>AVERAGE(K68:K72)</f>
        <v>50.6</v>
      </c>
      <c r="AJ19" s="5">
        <f>AVERAGE(L68:L72)</f>
        <v>11.2</v>
      </c>
      <c r="AK19" s="5">
        <f>AVERAGE(M68:M72)</f>
        <v>8041.1710000000003</v>
      </c>
      <c r="AL19">
        <v>5</v>
      </c>
      <c r="AM19" s="5">
        <f>AVERAGE(O68:O72)</f>
        <v>9.4875667176345345E-3</v>
      </c>
      <c r="AN19" s="5">
        <f>AVERAGE(P68:P72)</f>
        <v>60.6</v>
      </c>
      <c r="AO19" s="5">
        <f>AVERAGE(Q68:Q72)</f>
        <v>9</v>
      </c>
      <c r="AP19" s="5">
        <f>AVERAGE(R68:R72)</f>
        <v>8607.7880000000005</v>
      </c>
      <c r="AQ19">
        <v>5</v>
      </c>
      <c r="AR19" s="5">
        <f>AVERAGE(T68:T72)</f>
        <v>9.2882757563044153E-3</v>
      </c>
      <c r="AS19" s="5">
        <f>AVERAGE(U68:U72)</f>
        <v>77.8</v>
      </c>
      <c r="AT19" s="5">
        <f>AVERAGE(V68:V72)</f>
        <v>9</v>
      </c>
    </row>
    <row r="20" spans="1:46">
      <c r="A20" s="21"/>
      <c r="B20" t="s">
        <v>9</v>
      </c>
      <c r="C20" s="7">
        <v>5625.08</v>
      </c>
      <c r="D20" s="7">
        <v>5624.8036523726196</v>
      </c>
      <c r="E20" s="3">
        <f t="shared" si="0"/>
        <v>4.9127768383800093E-3</v>
      </c>
      <c r="F20" s="1">
        <v>3</v>
      </c>
      <c r="G20" s="1">
        <v>15</v>
      </c>
      <c r="H20" s="7">
        <v>6345.91</v>
      </c>
      <c r="I20" s="7">
        <v>6345.3210713503004</v>
      </c>
      <c r="J20" s="3">
        <f t="shared" si="1"/>
        <v>9.2804444074921135E-3</v>
      </c>
      <c r="K20" s="1">
        <v>4</v>
      </c>
      <c r="L20" s="1">
        <v>8</v>
      </c>
      <c r="M20" s="7">
        <v>6832.7749999999996</v>
      </c>
      <c r="N20" s="7">
        <v>6832.5917234782601</v>
      </c>
      <c r="O20" s="3">
        <f t="shared" si="2"/>
        <v>2.6823146048212004E-3</v>
      </c>
      <c r="P20" s="1">
        <v>4</v>
      </c>
      <c r="Q20" s="1">
        <v>7</v>
      </c>
      <c r="R20" s="7">
        <v>7116.28</v>
      </c>
      <c r="S20" s="7">
        <v>7115.7629090261698</v>
      </c>
      <c r="T20" s="3">
        <f t="shared" si="3"/>
        <v>7.2663101203143893E-3</v>
      </c>
      <c r="U20" s="1">
        <v>8</v>
      </c>
      <c r="V20" s="1">
        <v>4</v>
      </c>
      <c r="Y20" s="21"/>
      <c r="Z20" t="s">
        <v>64</v>
      </c>
      <c r="AA20" s="5">
        <f>AVERAGE(C73:C77)</f>
        <v>6282.6710000000003</v>
      </c>
      <c r="AB20">
        <v>5</v>
      </c>
      <c r="AC20" s="5">
        <f>AVERAGE(E73:E77)</f>
        <v>7.3594312302431922E-3</v>
      </c>
      <c r="AD20" s="5">
        <f>AVERAGE(F73:F77)</f>
        <v>72.599999999999994</v>
      </c>
      <c r="AE20" s="5">
        <f>AVERAGE(G73:G77)</f>
        <v>15.4</v>
      </c>
      <c r="AF20" s="5">
        <f>AVERAGE(H73:H77)</f>
        <v>7232.6720000000005</v>
      </c>
      <c r="AG20">
        <v>5</v>
      </c>
      <c r="AH20" s="5">
        <f>AVERAGE(J73:J77)</f>
        <v>7.4915153980554209E-3</v>
      </c>
      <c r="AI20" s="5">
        <f>AVERAGE(K73:K77)</f>
        <v>177</v>
      </c>
      <c r="AJ20" s="5">
        <f>AVERAGE(L73:L77)</f>
        <v>12.4</v>
      </c>
      <c r="AK20" s="5">
        <f>AVERAGE(M73:M77)</f>
        <v>7978.6930000000011</v>
      </c>
      <c r="AL20">
        <v>5</v>
      </c>
      <c r="AM20" s="5">
        <f>AVERAGE(O73:O77)</f>
        <v>8.9771948646789786E-3</v>
      </c>
      <c r="AN20" s="5">
        <f>AVERAGE(P73:P77)</f>
        <v>337</v>
      </c>
      <c r="AO20" s="5">
        <f>AVERAGE(Q73:Q77)</f>
        <v>10.4</v>
      </c>
      <c r="AP20" s="5">
        <f>AVERAGE(R73:R77)</f>
        <v>8559.6</v>
      </c>
      <c r="AQ20">
        <v>4</v>
      </c>
      <c r="AR20" s="5">
        <f>AVERAGE(T73:T77)</f>
        <v>0.38507405134239225</v>
      </c>
      <c r="AS20" s="5">
        <f>AVERAGE(U73:U77)</f>
        <v>951.2</v>
      </c>
      <c r="AT20" s="5">
        <f>AVERAGE(V73:V77)</f>
        <v>9</v>
      </c>
    </row>
    <row r="21" spans="1:46">
      <c r="A21" s="21"/>
      <c r="B21" t="s">
        <v>10</v>
      </c>
      <c r="C21" s="7">
        <v>5181.8050000000003</v>
      </c>
      <c r="D21" s="7">
        <v>5181.8050000000003</v>
      </c>
      <c r="E21" s="3">
        <f t="shared" si="0"/>
        <v>0</v>
      </c>
      <c r="F21" s="1">
        <v>1</v>
      </c>
      <c r="G21" s="1">
        <v>13</v>
      </c>
      <c r="H21" s="7">
        <v>5878.32</v>
      </c>
      <c r="I21" s="7">
        <v>5877.8788483135704</v>
      </c>
      <c r="J21" s="3">
        <f t="shared" si="1"/>
        <v>7.504723908009321E-3</v>
      </c>
      <c r="K21" s="1">
        <v>2</v>
      </c>
      <c r="L21" s="1">
        <v>10</v>
      </c>
      <c r="M21" s="7">
        <v>6388.33</v>
      </c>
      <c r="N21" s="7">
        <v>6388.30132205683</v>
      </c>
      <c r="O21" s="3">
        <f t="shared" si="2"/>
        <v>4.4891142395424202E-4</v>
      </c>
      <c r="P21" s="1">
        <v>2</v>
      </c>
      <c r="Q21" s="1">
        <v>7</v>
      </c>
      <c r="R21" s="7">
        <v>6777.64</v>
      </c>
      <c r="S21" s="7">
        <v>6777.2758992783001</v>
      </c>
      <c r="T21" s="3">
        <f t="shared" si="3"/>
        <v>5.3720870642317529E-3</v>
      </c>
      <c r="U21" s="1">
        <v>3</v>
      </c>
      <c r="V21" s="1">
        <v>7</v>
      </c>
      <c r="Y21" s="21"/>
      <c r="Z21" t="s">
        <v>65</v>
      </c>
      <c r="AA21" s="5">
        <f>AVERAGE(C78:C82)</f>
        <v>6085.92</v>
      </c>
      <c r="AB21">
        <v>5</v>
      </c>
      <c r="AC21" s="5">
        <f>AVERAGE(E78:E82)</f>
        <v>9.6259455894327703E-3</v>
      </c>
      <c r="AD21" s="5">
        <f>AVERAGE(F78:F82)</f>
        <v>273.2</v>
      </c>
      <c r="AE21" s="5">
        <f>AVERAGE(G78:G82)</f>
        <v>16.8</v>
      </c>
      <c r="AF21" s="5">
        <f>AVERAGE(H78:H82)</f>
        <v>7088.1200000000008</v>
      </c>
      <c r="AG21">
        <v>5</v>
      </c>
      <c r="AH21" s="5">
        <f>AVERAGE(J78:J82)</f>
        <v>9.7915350801773098E-3</v>
      </c>
      <c r="AI21" s="5">
        <f>AVERAGE(K78:K82)</f>
        <v>279.8</v>
      </c>
      <c r="AJ21" s="5">
        <f>AVERAGE(L78:L82)</f>
        <v>13</v>
      </c>
      <c r="AK21" s="5">
        <f>AVERAGE(M78:M82)</f>
        <v>7803.8960000000006</v>
      </c>
      <c r="AL21">
        <v>5</v>
      </c>
      <c r="AM21" s="5">
        <f>AVERAGE(O78:O82)</f>
        <v>7.9441630885404325E-3</v>
      </c>
      <c r="AN21" s="5">
        <f>AVERAGE(P78:P82)</f>
        <v>471.4</v>
      </c>
      <c r="AO21" s="5">
        <f>AVERAGE(Q78:Q82)</f>
        <v>10.199999999999999</v>
      </c>
      <c r="AP21" s="5">
        <f>AVERAGE(R78:R82)</f>
        <v>8368.119999999999</v>
      </c>
      <c r="AQ21">
        <v>5</v>
      </c>
      <c r="AR21" s="5">
        <f>AVERAGE(T78:T82)</f>
        <v>9.9362224100030313E-3</v>
      </c>
      <c r="AS21" s="5">
        <f>AVERAGE(U78:U82)</f>
        <v>719.8</v>
      </c>
      <c r="AT21" s="5">
        <f>AVERAGE(V78:V82)</f>
        <v>9</v>
      </c>
    </row>
    <row r="22" spans="1:46">
      <c r="A22" s="21"/>
      <c r="B22" t="s">
        <v>11</v>
      </c>
      <c r="C22" s="7">
        <v>5190.9449999999997</v>
      </c>
      <c r="D22" s="7">
        <v>5190.4334985883097</v>
      </c>
      <c r="E22" s="3">
        <f t="shared" si="0"/>
        <v>9.8537243544288295E-3</v>
      </c>
      <c r="F22" s="1">
        <v>1</v>
      </c>
      <c r="G22" s="1">
        <v>15</v>
      </c>
      <c r="H22" s="7">
        <v>6037.15</v>
      </c>
      <c r="I22" s="7">
        <v>6036.6307889403897</v>
      </c>
      <c r="J22" s="3">
        <f t="shared" si="1"/>
        <v>8.6002676695115347E-3</v>
      </c>
      <c r="K22" s="1">
        <v>2</v>
      </c>
      <c r="L22" s="1">
        <v>11</v>
      </c>
      <c r="M22" s="7">
        <v>6537.9099999999899</v>
      </c>
      <c r="N22" s="7">
        <v>6537.6380536698698</v>
      </c>
      <c r="O22" s="3">
        <f t="shared" si="2"/>
        <v>4.1595300351342452E-3</v>
      </c>
      <c r="P22" s="1">
        <v>3</v>
      </c>
      <c r="Q22" s="1">
        <v>7</v>
      </c>
      <c r="R22" s="7">
        <v>6846.58</v>
      </c>
      <c r="S22" s="7">
        <v>6845.9839435695503</v>
      </c>
      <c r="T22" s="3">
        <f t="shared" si="3"/>
        <v>8.705900324681921E-3</v>
      </c>
      <c r="U22" s="1">
        <v>3</v>
      </c>
      <c r="V22" s="1">
        <v>4</v>
      </c>
      <c r="Y22" s="21" t="s">
        <v>41</v>
      </c>
      <c r="Z22" s="21"/>
      <c r="AA22" s="5">
        <f>AVERAGE(AA18:AA21)</f>
        <v>6467.7795000000006</v>
      </c>
      <c r="AB22">
        <f>SUM(AB18:AB21)</f>
        <v>20</v>
      </c>
      <c r="AC22" s="5">
        <f>AVERAGE(AC18:AC21)</f>
        <v>5.8234103383473157E-3</v>
      </c>
      <c r="AD22" s="5">
        <f>AVERAGE(AD18:AD21)</f>
        <v>99.05</v>
      </c>
      <c r="AE22" s="5">
        <f t="shared" ref="AE22" si="17">AVERAGE(AE18:AE21)</f>
        <v>14.5</v>
      </c>
      <c r="AF22" s="5">
        <f>AVERAGE(AF18:AF21)</f>
        <v>7372.5865000000013</v>
      </c>
      <c r="AG22">
        <f>SUM(AG18:AG21)</f>
        <v>20</v>
      </c>
      <c r="AH22" s="5">
        <f>AVERAGE(AH18:AH21)</f>
        <v>6.648547624445794E-3</v>
      </c>
      <c r="AI22" s="5">
        <f>AVERAGE(AI18:AI21)</f>
        <v>128.75</v>
      </c>
      <c r="AJ22" s="5">
        <f t="shared" ref="AJ22" si="18">AVERAGE(AJ18:AJ21)</f>
        <v>11.95</v>
      </c>
      <c r="AK22" s="5">
        <f>AVERAGE(AK18:AK21)</f>
        <v>8072.4107499999991</v>
      </c>
      <c r="AL22">
        <f>SUM(AL18:AL21)</f>
        <v>20</v>
      </c>
      <c r="AM22" s="5">
        <f>AVERAGE(AM18:AM21)</f>
        <v>6.9240610106234444E-3</v>
      </c>
      <c r="AN22" s="5">
        <f>AVERAGE(AN18:AN21)</f>
        <v>219.64999999999998</v>
      </c>
      <c r="AO22" s="5">
        <f t="shared" ref="AO22" si="19">AVERAGE(AO18:AO21)</f>
        <v>9.75</v>
      </c>
      <c r="AP22" s="5">
        <f>AVERAGE(AP18:AP21)</f>
        <v>8647.6959999999999</v>
      </c>
      <c r="AQ22">
        <f>SUM(AQ18:AQ21)</f>
        <v>19</v>
      </c>
      <c r="AR22" s="5">
        <f>AVERAGE(AR18:AR21)</f>
        <v>0.10107463737717493</v>
      </c>
      <c r="AS22" s="5">
        <f>AVERAGE(AS18:AS21)</f>
        <v>441.15</v>
      </c>
      <c r="AT22" s="5">
        <f t="shared" ref="AT22" si="20">AVERAGE(AT18:AT21)</f>
        <v>9</v>
      </c>
    </row>
    <row r="23" spans="1:46">
      <c r="A23" s="21" t="s">
        <v>53</v>
      </c>
      <c r="B23" t="s">
        <v>7</v>
      </c>
      <c r="C23" s="7">
        <v>5922.625</v>
      </c>
      <c r="D23" s="7">
        <v>5922.625</v>
      </c>
      <c r="E23" s="3">
        <f t="shared" si="0"/>
        <v>0</v>
      </c>
      <c r="F23" s="1">
        <v>1</v>
      </c>
      <c r="G23" s="1">
        <v>11</v>
      </c>
      <c r="H23" s="7">
        <v>6581.48</v>
      </c>
      <c r="I23" s="7">
        <v>6581.48</v>
      </c>
      <c r="J23" s="3">
        <f t="shared" si="1"/>
        <v>0</v>
      </c>
      <c r="K23" s="1">
        <v>2</v>
      </c>
      <c r="L23" s="1">
        <v>10</v>
      </c>
      <c r="M23" s="7">
        <v>7176.2849999999999</v>
      </c>
      <c r="N23" s="7">
        <v>7176.2849999999999</v>
      </c>
      <c r="O23" s="3">
        <f t="shared" si="2"/>
        <v>0</v>
      </c>
      <c r="P23" s="1">
        <v>2</v>
      </c>
      <c r="Q23" s="1">
        <v>7</v>
      </c>
      <c r="R23" s="7">
        <v>7593.86</v>
      </c>
      <c r="S23" s="7">
        <v>7593.86</v>
      </c>
      <c r="T23" s="3">
        <f t="shared" si="3"/>
        <v>0</v>
      </c>
      <c r="U23" s="1">
        <v>1</v>
      </c>
      <c r="V23" s="1">
        <v>6</v>
      </c>
      <c r="Y23" s="1"/>
    </row>
    <row r="24" spans="1:46">
      <c r="A24" s="21"/>
      <c r="B24" t="s">
        <v>8</v>
      </c>
      <c r="C24" s="7">
        <v>5856.59</v>
      </c>
      <c r="D24" s="7">
        <v>5856.59</v>
      </c>
      <c r="E24" s="3">
        <f t="shared" si="0"/>
        <v>0</v>
      </c>
      <c r="F24" s="1">
        <v>1</v>
      </c>
      <c r="G24" s="1">
        <v>11</v>
      </c>
      <c r="H24" s="7">
        <v>6367.55</v>
      </c>
      <c r="I24" s="7">
        <v>6367.55</v>
      </c>
      <c r="J24" s="3">
        <f t="shared" si="1"/>
        <v>0</v>
      </c>
      <c r="K24" s="1">
        <v>2</v>
      </c>
      <c r="L24" s="1">
        <v>6</v>
      </c>
      <c r="M24" s="7">
        <v>6707.1750000000002</v>
      </c>
      <c r="N24" s="7">
        <v>6707.1750000000002</v>
      </c>
      <c r="O24" s="3">
        <f t="shared" si="2"/>
        <v>0</v>
      </c>
      <c r="P24" s="1">
        <v>2</v>
      </c>
      <c r="Q24" s="1">
        <v>6</v>
      </c>
      <c r="R24" s="7">
        <v>7046.8</v>
      </c>
      <c r="S24" s="7">
        <v>7046.8</v>
      </c>
      <c r="T24" s="3">
        <f t="shared" si="3"/>
        <v>0</v>
      </c>
      <c r="U24" s="1">
        <v>1</v>
      </c>
      <c r="V24" s="1">
        <v>6</v>
      </c>
      <c r="Y24" s="1"/>
      <c r="Z24" s="1"/>
    </row>
    <row r="25" spans="1:46">
      <c r="A25" s="21"/>
      <c r="B25" t="s">
        <v>9</v>
      </c>
      <c r="C25" s="7">
        <v>6963.66</v>
      </c>
      <c r="D25" s="7">
        <v>6963.66</v>
      </c>
      <c r="E25" s="3">
        <f t="shared" si="0"/>
        <v>0</v>
      </c>
      <c r="F25" s="1">
        <v>1</v>
      </c>
      <c r="G25" s="1">
        <v>11</v>
      </c>
      <c r="H25" s="7">
        <v>7719.94</v>
      </c>
      <c r="I25" s="7">
        <v>7719.94</v>
      </c>
      <c r="J25" s="3">
        <f t="shared" si="1"/>
        <v>0</v>
      </c>
      <c r="K25" s="1">
        <v>2</v>
      </c>
      <c r="L25" s="1">
        <v>8</v>
      </c>
      <c r="M25" s="7">
        <v>8186.08</v>
      </c>
      <c r="N25" s="7">
        <v>8186.08</v>
      </c>
      <c r="O25" s="3">
        <f t="shared" si="2"/>
        <v>0</v>
      </c>
      <c r="P25" s="1">
        <v>3</v>
      </c>
      <c r="Q25" s="1">
        <v>6</v>
      </c>
      <c r="R25" s="7">
        <v>8613.44</v>
      </c>
      <c r="S25" s="7">
        <v>8612.6967156148003</v>
      </c>
      <c r="T25" s="3">
        <f t="shared" si="3"/>
        <v>8.6293558113859341E-3</v>
      </c>
      <c r="U25" s="1">
        <v>5</v>
      </c>
      <c r="V25" s="1">
        <v>6</v>
      </c>
      <c r="Y25" s="1"/>
    </row>
    <row r="26" spans="1:46">
      <c r="A26" s="21"/>
      <c r="B26" t="s">
        <v>10</v>
      </c>
      <c r="C26" s="7">
        <v>6129.625</v>
      </c>
      <c r="D26" s="7">
        <v>6129.625</v>
      </c>
      <c r="E26" s="3">
        <f t="shared" si="0"/>
        <v>0</v>
      </c>
      <c r="F26" s="1">
        <v>0</v>
      </c>
      <c r="G26" s="1">
        <v>12</v>
      </c>
      <c r="H26" s="7">
        <v>6912.45</v>
      </c>
      <c r="I26" s="7">
        <v>6912.45</v>
      </c>
      <c r="J26" s="3">
        <f t="shared" si="1"/>
        <v>0</v>
      </c>
      <c r="K26" s="1">
        <v>1</v>
      </c>
      <c r="L26" s="1">
        <v>11</v>
      </c>
      <c r="M26" s="7">
        <v>7487.4949999999999</v>
      </c>
      <c r="N26" s="7">
        <v>7487.4949999999999</v>
      </c>
      <c r="O26" s="3">
        <f t="shared" si="2"/>
        <v>0</v>
      </c>
      <c r="P26" s="1">
        <v>3</v>
      </c>
      <c r="Q26" s="1">
        <v>7</v>
      </c>
      <c r="R26" s="7">
        <v>7918.16</v>
      </c>
      <c r="S26" s="7">
        <v>7917.66</v>
      </c>
      <c r="T26" s="3">
        <f t="shared" si="3"/>
        <v>6.3145983410287237E-3</v>
      </c>
      <c r="U26" s="1">
        <v>5</v>
      </c>
      <c r="V26" s="1">
        <v>7</v>
      </c>
      <c r="Y26" s="1"/>
    </row>
    <row r="27" spans="1:46">
      <c r="A27" s="21"/>
      <c r="B27" t="s">
        <v>11</v>
      </c>
      <c r="C27" s="7">
        <v>6286.0150000000003</v>
      </c>
      <c r="D27" s="7">
        <v>6285.5065191118902</v>
      </c>
      <c r="E27" s="3">
        <f t="shared" si="0"/>
        <v>8.0890816854584466E-3</v>
      </c>
      <c r="F27" s="1">
        <v>0</v>
      </c>
      <c r="G27" s="1">
        <v>11</v>
      </c>
      <c r="H27" s="7">
        <v>7000.06</v>
      </c>
      <c r="I27" s="7">
        <v>7000.06</v>
      </c>
      <c r="J27" s="3">
        <f t="shared" si="1"/>
        <v>0</v>
      </c>
      <c r="K27" s="1">
        <v>1</v>
      </c>
      <c r="L27" s="1">
        <v>9</v>
      </c>
      <c r="M27" s="7">
        <v>7497.875</v>
      </c>
      <c r="N27" s="7">
        <v>7497.3931077143898</v>
      </c>
      <c r="O27" s="3">
        <f t="shared" si="2"/>
        <v>6.4270514727203234E-3</v>
      </c>
      <c r="P27" s="1">
        <v>3</v>
      </c>
      <c r="Q27" s="1">
        <v>7</v>
      </c>
      <c r="R27" s="7">
        <v>7846.34</v>
      </c>
      <c r="S27" s="7">
        <v>7846.34</v>
      </c>
      <c r="T27" s="3">
        <f t="shared" si="3"/>
        <v>0</v>
      </c>
      <c r="U27" s="1">
        <v>6</v>
      </c>
      <c r="V27" s="1">
        <v>5</v>
      </c>
    </row>
    <row r="28" spans="1:46">
      <c r="A28" s="21" t="s">
        <v>54</v>
      </c>
      <c r="B28" t="s">
        <v>7</v>
      </c>
      <c r="C28" s="7">
        <v>6295.4449999999997</v>
      </c>
      <c r="D28" s="7">
        <v>6295.4096947254102</v>
      </c>
      <c r="E28" s="3">
        <f t="shared" si="0"/>
        <v>5.60806656074644E-4</v>
      </c>
      <c r="F28" s="1">
        <v>4</v>
      </c>
      <c r="G28" s="1">
        <v>12</v>
      </c>
      <c r="H28" s="7">
        <v>6925.99</v>
      </c>
      <c r="I28" s="7">
        <v>6925.99</v>
      </c>
      <c r="J28" s="3">
        <f t="shared" si="1"/>
        <v>0</v>
      </c>
      <c r="K28" s="1">
        <v>8</v>
      </c>
      <c r="L28" s="1">
        <v>7</v>
      </c>
      <c r="M28" s="7">
        <v>7317.4750000000004</v>
      </c>
      <c r="N28" s="7">
        <v>7316.7830802336102</v>
      </c>
      <c r="O28" s="3">
        <f t="shared" si="2"/>
        <v>9.4557175308440222E-3</v>
      </c>
      <c r="P28" s="1">
        <v>11</v>
      </c>
      <c r="Q28" s="1">
        <v>6</v>
      </c>
      <c r="R28" s="7">
        <v>7669.4</v>
      </c>
      <c r="S28" s="7">
        <v>7669.0656307911604</v>
      </c>
      <c r="T28" s="3">
        <f t="shared" si="3"/>
        <v>4.3597831491281524E-3</v>
      </c>
      <c r="U28" s="1">
        <v>23</v>
      </c>
      <c r="V28" s="1">
        <v>6</v>
      </c>
    </row>
    <row r="29" spans="1:46">
      <c r="A29" s="21"/>
      <c r="B29" t="s">
        <v>8</v>
      </c>
      <c r="C29" s="7">
        <v>5735.6</v>
      </c>
      <c r="D29" s="7">
        <v>5735.6</v>
      </c>
      <c r="E29" s="3">
        <f t="shared" si="0"/>
        <v>0</v>
      </c>
      <c r="F29" s="1">
        <v>1</v>
      </c>
      <c r="G29" s="1">
        <v>11</v>
      </c>
      <c r="H29" s="7">
        <v>6428.71</v>
      </c>
      <c r="I29" s="7">
        <v>6428.1063616592701</v>
      </c>
      <c r="J29" s="3">
        <f t="shared" si="1"/>
        <v>9.3897273438988248E-3</v>
      </c>
      <c r="K29" s="1">
        <v>5</v>
      </c>
      <c r="L29" s="1">
        <v>11</v>
      </c>
      <c r="M29" s="7">
        <v>7010.99</v>
      </c>
      <c r="N29" s="7">
        <v>7010.4270361620302</v>
      </c>
      <c r="O29" s="3">
        <f t="shared" si="2"/>
        <v>8.0297338602625147E-3</v>
      </c>
      <c r="P29" s="1">
        <v>12</v>
      </c>
      <c r="Q29" s="1">
        <v>8</v>
      </c>
      <c r="R29" s="7">
        <v>7444.76</v>
      </c>
      <c r="S29" s="7">
        <v>7444.3066302039497</v>
      </c>
      <c r="T29" s="3">
        <f t="shared" si="3"/>
        <v>6.0897839023761387E-3</v>
      </c>
      <c r="U29" s="1">
        <v>23</v>
      </c>
      <c r="V29" s="1">
        <v>6</v>
      </c>
    </row>
    <row r="30" spans="1:46">
      <c r="A30" s="21"/>
      <c r="B30" t="s">
        <v>9</v>
      </c>
      <c r="C30" s="7">
        <v>5759.2550000000001</v>
      </c>
      <c r="D30" s="7">
        <v>5758.7907762430896</v>
      </c>
      <c r="E30" s="3">
        <f t="shared" si="0"/>
        <v>8.0604827692217461E-3</v>
      </c>
      <c r="F30" s="1">
        <v>1</v>
      </c>
      <c r="G30" s="1">
        <v>12</v>
      </c>
      <c r="H30" s="7">
        <v>6417.12</v>
      </c>
      <c r="I30" s="7">
        <v>6417.12</v>
      </c>
      <c r="J30" s="3">
        <f t="shared" si="1"/>
        <v>0</v>
      </c>
      <c r="K30" s="1">
        <v>3</v>
      </c>
      <c r="L30" s="1">
        <v>8</v>
      </c>
      <c r="M30" s="7">
        <v>6876.4250000000002</v>
      </c>
      <c r="N30" s="7">
        <v>6876.0464912054204</v>
      </c>
      <c r="O30" s="3">
        <f t="shared" si="2"/>
        <v>5.504441546004349E-3</v>
      </c>
      <c r="P30" s="1">
        <v>5</v>
      </c>
      <c r="Q30" s="1">
        <v>7</v>
      </c>
      <c r="R30" s="7">
        <v>7232.24</v>
      </c>
      <c r="S30" s="7">
        <v>7231.6087778393403</v>
      </c>
      <c r="T30" s="3">
        <f t="shared" si="3"/>
        <v>8.7278928887798285E-3</v>
      </c>
      <c r="U30" s="1">
        <v>6</v>
      </c>
      <c r="V30" s="1">
        <v>6</v>
      </c>
    </row>
    <row r="31" spans="1:46">
      <c r="A31" s="21"/>
      <c r="B31" t="s">
        <v>10</v>
      </c>
      <c r="C31" s="7">
        <v>6225</v>
      </c>
      <c r="D31" s="7">
        <v>6225</v>
      </c>
      <c r="E31" s="3">
        <f t="shared" si="0"/>
        <v>0</v>
      </c>
      <c r="F31" s="1">
        <v>2</v>
      </c>
      <c r="G31" s="1">
        <v>11</v>
      </c>
      <c r="H31" s="7">
        <v>6801.06</v>
      </c>
      <c r="I31" s="7">
        <v>6800.5348251307896</v>
      </c>
      <c r="J31" s="3">
        <f t="shared" si="1"/>
        <v>7.7219561246450793E-3</v>
      </c>
      <c r="K31" s="1">
        <v>2</v>
      </c>
      <c r="L31" s="1">
        <v>9</v>
      </c>
      <c r="M31" s="7">
        <v>7261.2</v>
      </c>
      <c r="N31" s="7">
        <v>7260.6671397050904</v>
      </c>
      <c r="O31" s="3">
        <f t="shared" si="2"/>
        <v>7.3384605149199754E-3</v>
      </c>
      <c r="P31" s="1">
        <v>6</v>
      </c>
      <c r="Q31" s="1">
        <v>7</v>
      </c>
      <c r="R31" s="7">
        <v>7678.8</v>
      </c>
      <c r="S31" s="7">
        <v>7678.29298393914</v>
      </c>
      <c r="T31" s="3">
        <f t="shared" si="3"/>
        <v>6.6028033138019436E-3</v>
      </c>
      <c r="U31" s="1">
        <v>13</v>
      </c>
      <c r="V31" s="1">
        <v>7</v>
      </c>
    </row>
    <row r="32" spans="1:46">
      <c r="A32" s="21"/>
      <c r="B32" t="s">
        <v>11</v>
      </c>
      <c r="C32" s="7">
        <v>6286.81</v>
      </c>
      <c r="D32" s="7">
        <v>6286.5526590542304</v>
      </c>
      <c r="E32" s="3">
        <f t="shared" si="0"/>
        <v>4.0933469560876E-3</v>
      </c>
      <c r="F32" s="1">
        <v>2</v>
      </c>
      <c r="G32" s="1">
        <v>11</v>
      </c>
      <c r="H32" s="7">
        <v>6896.12</v>
      </c>
      <c r="I32" s="7">
        <v>6895.5527025378096</v>
      </c>
      <c r="J32" s="3">
        <f t="shared" si="1"/>
        <v>8.2263281699021182E-3</v>
      </c>
      <c r="K32" s="1">
        <v>5</v>
      </c>
      <c r="L32" s="1">
        <v>8</v>
      </c>
      <c r="M32" s="7">
        <v>7419.2950000000001</v>
      </c>
      <c r="N32" s="7">
        <v>7418.6066624702298</v>
      </c>
      <c r="O32" s="3">
        <f t="shared" si="2"/>
        <v>9.2776676189617931E-3</v>
      </c>
      <c r="P32" s="1">
        <v>11</v>
      </c>
      <c r="Q32" s="1">
        <v>7</v>
      </c>
      <c r="R32" s="7">
        <v>7869.46</v>
      </c>
      <c r="S32" s="7">
        <v>7868.7817687074803</v>
      </c>
      <c r="T32" s="3">
        <f t="shared" si="3"/>
        <v>8.6185239205706643E-3</v>
      </c>
      <c r="U32" s="1">
        <v>18</v>
      </c>
      <c r="V32" s="1">
        <v>6</v>
      </c>
    </row>
    <row r="33" spans="1:48">
      <c r="A33" s="21" t="s">
        <v>55</v>
      </c>
      <c r="B33" t="s">
        <v>7</v>
      </c>
      <c r="C33" s="7">
        <v>5751.34</v>
      </c>
      <c r="D33" s="7">
        <v>5751.2943032659996</v>
      </c>
      <c r="E33" s="3">
        <f t="shared" si="0"/>
        <v>7.9454064618954224E-4</v>
      </c>
      <c r="F33" s="1">
        <v>6</v>
      </c>
      <c r="G33" s="1">
        <v>14</v>
      </c>
      <c r="H33" s="7">
        <v>6676.58</v>
      </c>
      <c r="I33" s="7">
        <v>6676.2560629091804</v>
      </c>
      <c r="J33" s="3">
        <f t="shared" si="1"/>
        <v>4.8518416737240765E-3</v>
      </c>
      <c r="K33" s="1">
        <v>9</v>
      </c>
      <c r="L33" s="1">
        <v>14</v>
      </c>
      <c r="M33" s="7">
        <v>7451.3149999999996</v>
      </c>
      <c r="N33" s="7">
        <v>7450.6731706921</v>
      </c>
      <c r="O33" s="3">
        <f t="shared" si="2"/>
        <v>8.6136381014568619E-3</v>
      </c>
      <c r="P33" s="1">
        <v>26</v>
      </c>
      <c r="Q33" s="1">
        <v>11</v>
      </c>
      <c r="R33" s="7">
        <v>8019</v>
      </c>
      <c r="S33" s="7">
        <v>8018.4382067379702</v>
      </c>
      <c r="T33" s="3">
        <f t="shared" si="3"/>
        <v>7.0057770548674816E-3</v>
      </c>
      <c r="U33" s="1">
        <v>40</v>
      </c>
      <c r="V33" s="1">
        <v>8</v>
      </c>
    </row>
    <row r="34" spans="1:48">
      <c r="A34" s="21"/>
      <c r="B34" t="s">
        <v>8</v>
      </c>
      <c r="C34" s="7">
        <v>5820.71</v>
      </c>
      <c r="D34" s="7">
        <v>5820.71</v>
      </c>
      <c r="E34" s="3">
        <f t="shared" si="0"/>
        <v>0</v>
      </c>
      <c r="F34" s="1">
        <v>3</v>
      </c>
      <c r="G34" s="1">
        <v>14</v>
      </c>
      <c r="H34" s="7">
        <v>6579.61</v>
      </c>
      <c r="I34" s="7">
        <v>6579.0732843580599</v>
      </c>
      <c r="J34" s="3">
        <f t="shared" si="1"/>
        <v>8.1572561586436901E-3</v>
      </c>
      <c r="K34" s="1">
        <v>8</v>
      </c>
      <c r="L34" s="1">
        <v>8</v>
      </c>
      <c r="M34" s="7">
        <v>7026.4250000000002</v>
      </c>
      <c r="N34" s="7">
        <v>7025.8643249373799</v>
      </c>
      <c r="O34" s="3">
        <f t="shared" si="2"/>
        <v>7.979521059717401E-3</v>
      </c>
      <c r="P34" s="1">
        <v>18</v>
      </c>
      <c r="Q34" s="1">
        <v>7</v>
      </c>
      <c r="R34" s="7">
        <v>7417.42</v>
      </c>
      <c r="S34" s="7">
        <v>7416.74</v>
      </c>
      <c r="T34" s="3">
        <f t="shared" si="3"/>
        <v>9.167608144075582E-3</v>
      </c>
      <c r="U34" s="1">
        <v>13</v>
      </c>
      <c r="V34" s="1">
        <v>6</v>
      </c>
    </row>
    <row r="35" spans="1:48">
      <c r="A35" s="21"/>
      <c r="B35" t="s">
        <v>9</v>
      </c>
      <c r="C35" s="7">
        <v>5723.4049999999997</v>
      </c>
      <c r="D35" s="7">
        <v>5723.4049999999997</v>
      </c>
      <c r="E35" s="3">
        <f t="shared" si="0"/>
        <v>0</v>
      </c>
      <c r="F35" s="1">
        <v>3</v>
      </c>
      <c r="G35" s="1">
        <v>13</v>
      </c>
      <c r="H35" s="7">
        <v>6521.58</v>
      </c>
      <c r="I35" s="7">
        <v>6521.58</v>
      </c>
      <c r="J35" s="3">
        <f t="shared" si="1"/>
        <v>0</v>
      </c>
      <c r="K35" s="1">
        <v>4</v>
      </c>
      <c r="L35" s="1">
        <v>11</v>
      </c>
      <c r="M35" s="7">
        <v>7131.41</v>
      </c>
      <c r="N35" s="7">
        <v>7130.84731191438</v>
      </c>
      <c r="O35" s="3">
        <f t="shared" si="2"/>
        <v>7.8902781584540976E-3</v>
      </c>
      <c r="P35" s="1">
        <v>10</v>
      </c>
      <c r="Q35" s="1">
        <v>8</v>
      </c>
      <c r="R35" s="7">
        <v>7594.3</v>
      </c>
      <c r="S35" s="7">
        <v>7593.8563431151197</v>
      </c>
      <c r="T35" s="3">
        <f t="shared" si="3"/>
        <v>5.8419720695852273E-3</v>
      </c>
      <c r="U35" s="1">
        <v>10</v>
      </c>
      <c r="V35" s="1">
        <v>7</v>
      </c>
    </row>
    <row r="36" spans="1:48">
      <c r="A36" s="21"/>
      <c r="B36" t="s">
        <v>10</v>
      </c>
      <c r="C36" s="7">
        <v>6219.98</v>
      </c>
      <c r="D36" s="7">
        <v>6219.98</v>
      </c>
      <c r="E36" s="3">
        <f t="shared" si="0"/>
        <v>0</v>
      </c>
      <c r="F36" s="1">
        <v>2</v>
      </c>
      <c r="G36" s="1">
        <v>14</v>
      </c>
      <c r="H36" s="7">
        <v>7094.41</v>
      </c>
      <c r="I36" s="7">
        <v>7093.7562923035302</v>
      </c>
      <c r="J36" s="3">
        <f t="shared" si="1"/>
        <v>9.2144053764810566E-3</v>
      </c>
      <c r="K36" s="1">
        <v>11</v>
      </c>
      <c r="L36" s="1">
        <v>10</v>
      </c>
      <c r="M36" s="7">
        <v>7590.375</v>
      </c>
      <c r="N36" s="7">
        <v>7589.6204600142901</v>
      </c>
      <c r="O36" s="3">
        <f t="shared" si="2"/>
        <v>9.9407471397648401E-3</v>
      </c>
      <c r="P36" s="1">
        <v>11</v>
      </c>
      <c r="Q36" s="1">
        <v>7</v>
      </c>
      <c r="R36" s="7">
        <v>8027.42</v>
      </c>
      <c r="S36" s="7">
        <v>8026.6415828729496</v>
      </c>
      <c r="T36" s="3">
        <f t="shared" si="3"/>
        <v>9.6969776970743833E-3</v>
      </c>
      <c r="U36" s="1">
        <v>23</v>
      </c>
      <c r="V36" s="1">
        <v>6</v>
      </c>
    </row>
    <row r="37" spans="1:48">
      <c r="A37" s="21"/>
      <c r="B37" t="s">
        <v>11</v>
      </c>
      <c r="C37" s="7">
        <v>5656.165</v>
      </c>
      <c r="D37" s="7">
        <v>5655.7470755233699</v>
      </c>
      <c r="E37" s="3">
        <f t="shared" si="0"/>
        <v>7.3888310653968782E-3</v>
      </c>
      <c r="F37" s="1">
        <v>4</v>
      </c>
      <c r="G37" s="1">
        <v>13</v>
      </c>
      <c r="H37" s="7">
        <v>6385.75</v>
      </c>
      <c r="I37" s="7">
        <v>6385.4908211922402</v>
      </c>
      <c r="J37" s="3">
        <f t="shared" si="1"/>
        <v>4.0587058334538807E-3</v>
      </c>
      <c r="K37" s="1">
        <v>8</v>
      </c>
      <c r="L37" s="1">
        <v>12</v>
      </c>
      <c r="M37" s="7">
        <v>6901.2250000000004</v>
      </c>
      <c r="N37" s="7">
        <v>6900.5810058756897</v>
      </c>
      <c r="O37" s="3">
        <f t="shared" si="2"/>
        <v>9.3315914828261057E-3</v>
      </c>
      <c r="P37" s="1">
        <v>13</v>
      </c>
      <c r="Q37" s="1">
        <v>8</v>
      </c>
      <c r="R37" s="7">
        <v>7305.9</v>
      </c>
      <c r="S37" s="7">
        <v>7305.18120212137</v>
      </c>
      <c r="T37" s="3">
        <f t="shared" si="3"/>
        <v>9.8385945418036098E-3</v>
      </c>
      <c r="U37" s="1">
        <v>13</v>
      </c>
      <c r="V37" s="1">
        <v>7</v>
      </c>
    </row>
    <row r="38" spans="1:48">
      <c r="A38" s="21" t="s">
        <v>56</v>
      </c>
      <c r="B38" t="s">
        <v>7</v>
      </c>
      <c r="C38" s="7">
        <v>5709.62</v>
      </c>
      <c r="D38" s="7">
        <v>5709.62</v>
      </c>
      <c r="E38" s="3">
        <f t="shared" si="0"/>
        <v>0</v>
      </c>
      <c r="F38" s="1">
        <v>9</v>
      </c>
      <c r="G38" s="1">
        <v>14</v>
      </c>
      <c r="H38" s="7">
        <v>6479.35</v>
      </c>
      <c r="I38" s="7">
        <v>6478.9081321951198</v>
      </c>
      <c r="J38" s="3">
        <f t="shared" si="1"/>
        <v>6.819631674173033E-3</v>
      </c>
      <c r="K38" s="1">
        <v>18</v>
      </c>
      <c r="L38" s="1">
        <v>8</v>
      </c>
      <c r="M38" s="7">
        <v>6900.3549999999996</v>
      </c>
      <c r="N38" s="7">
        <v>6899.6715545893603</v>
      </c>
      <c r="O38" s="3">
        <f t="shared" si="2"/>
        <v>9.9044963721323237E-3</v>
      </c>
      <c r="P38" s="1">
        <v>29</v>
      </c>
      <c r="Q38" s="1">
        <v>6</v>
      </c>
      <c r="R38" s="7">
        <v>7263.54</v>
      </c>
      <c r="S38" s="7">
        <v>7262.9615681137902</v>
      </c>
      <c r="T38" s="3">
        <f t="shared" si="3"/>
        <v>7.9634983246423645E-3</v>
      </c>
      <c r="U38" s="1">
        <v>29</v>
      </c>
      <c r="V38" s="1">
        <v>6</v>
      </c>
      <c r="AP38" s="5"/>
      <c r="AQ38" s="5"/>
      <c r="AR38" s="5"/>
      <c r="AS38" s="5"/>
      <c r="AT38" s="5"/>
      <c r="AU38" s="5"/>
      <c r="AV38" s="5"/>
    </row>
    <row r="39" spans="1:48">
      <c r="A39" s="21"/>
      <c r="B39" t="s">
        <v>8</v>
      </c>
      <c r="C39" s="7">
        <v>5676.2449999999999</v>
      </c>
      <c r="D39" s="7">
        <v>5676.01148484849</v>
      </c>
      <c r="E39" s="3">
        <f t="shared" si="0"/>
        <v>4.1139019106802375E-3</v>
      </c>
      <c r="F39" s="1">
        <v>5</v>
      </c>
      <c r="G39" s="1">
        <v>14</v>
      </c>
      <c r="H39" s="7">
        <v>6471.41</v>
      </c>
      <c r="I39" s="7">
        <v>6470.8741379222702</v>
      </c>
      <c r="J39" s="3">
        <f t="shared" si="1"/>
        <v>8.2804532200817012E-3</v>
      </c>
      <c r="K39" s="1">
        <v>12</v>
      </c>
      <c r="L39" s="1">
        <v>10</v>
      </c>
      <c r="M39" s="7">
        <v>7062.22</v>
      </c>
      <c r="N39" s="7">
        <v>7061.5221757280797</v>
      </c>
      <c r="O39" s="3">
        <f t="shared" si="2"/>
        <v>9.8810894013579426E-3</v>
      </c>
      <c r="P39" s="1">
        <v>22</v>
      </c>
      <c r="Q39" s="1">
        <v>9</v>
      </c>
      <c r="R39" s="7">
        <v>7510.76</v>
      </c>
      <c r="S39" s="7">
        <v>7510.04</v>
      </c>
      <c r="T39" s="3">
        <f t="shared" si="3"/>
        <v>9.5862469310729493E-3</v>
      </c>
      <c r="U39" s="1">
        <v>30</v>
      </c>
      <c r="V39" s="1">
        <v>7</v>
      </c>
      <c r="AP39" s="5"/>
      <c r="AQ39" s="5"/>
      <c r="AR39" s="5"/>
      <c r="AS39" s="5"/>
      <c r="AT39" s="5"/>
      <c r="AU39" s="5"/>
      <c r="AV39" s="5"/>
    </row>
    <row r="40" spans="1:48">
      <c r="A40" s="21"/>
      <c r="B40" t="s">
        <v>9</v>
      </c>
      <c r="C40" s="7">
        <v>5857.1149999999998</v>
      </c>
      <c r="D40" s="7">
        <v>5856.6723236094604</v>
      </c>
      <c r="E40" s="3">
        <f t="shared" si="0"/>
        <v>7.5579255408066634E-3</v>
      </c>
      <c r="F40" s="1">
        <v>9</v>
      </c>
      <c r="G40" s="1">
        <v>16</v>
      </c>
      <c r="H40" s="7">
        <v>6685.59</v>
      </c>
      <c r="I40" s="7">
        <v>6685.0605082358697</v>
      </c>
      <c r="J40" s="3">
        <f t="shared" si="1"/>
        <v>7.9198958376208856E-3</v>
      </c>
      <c r="K40" s="1">
        <v>12</v>
      </c>
      <c r="L40" s="1">
        <v>10</v>
      </c>
      <c r="M40" s="7">
        <v>7273.59</v>
      </c>
      <c r="N40" s="7">
        <v>7272.9801516552998</v>
      </c>
      <c r="O40" s="3">
        <f t="shared" si="2"/>
        <v>8.3844201377912039E-3</v>
      </c>
      <c r="P40" s="1">
        <v>33</v>
      </c>
      <c r="Q40" s="1">
        <v>9</v>
      </c>
      <c r="R40" s="7">
        <v>7721.9</v>
      </c>
      <c r="S40" s="7">
        <v>7721.1461411520204</v>
      </c>
      <c r="T40" s="3">
        <f t="shared" si="3"/>
        <v>9.7626082697165883E-3</v>
      </c>
      <c r="U40" s="1">
        <v>47</v>
      </c>
      <c r="V40" s="1">
        <v>6</v>
      </c>
      <c r="AP40" s="5"/>
      <c r="AQ40" s="5"/>
      <c r="AR40" s="5"/>
      <c r="AS40" s="5"/>
      <c r="AT40" s="5"/>
      <c r="AU40" s="5"/>
      <c r="AV40" s="5"/>
    </row>
    <row r="41" spans="1:48">
      <c r="A41" s="21"/>
      <c r="B41" t="s">
        <v>10</v>
      </c>
      <c r="C41" s="7">
        <v>5521.53</v>
      </c>
      <c r="D41" s="7">
        <v>5521.53</v>
      </c>
      <c r="E41" s="3">
        <f t="shared" si="0"/>
        <v>0</v>
      </c>
      <c r="F41" s="1">
        <v>8</v>
      </c>
      <c r="G41" s="1">
        <v>15</v>
      </c>
      <c r="H41" s="7">
        <v>6399.27</v>
      </c>
      <c r="I41" s="7">
        <v>6398.6552325386401</v>
      </c>
      <c r="J41" s="3">
        <f t="shared" si="1"/>
        <v>9.6068373636417244E-3</v>
      </c>
      <c r="K41" s="1">
        <v>11</v>
      </c>
      <c r="L41" s="1">
        <v>12</v>
      </c>
      <c r="M41" s="7">
        <v>6975.1350000000002</v>
      </c>
      <c r="N41" s="7">
        <v>6974.4632222222199</v>
      </c>
      <c r="O41" s="3">
        <f t="shared" si="2"/>
        <v>9.6310362133540765E-3</v>
      </c>
      <c r="P41" s="1">
        <v>12</v>
      </c>
      <c r="Q41" s="1">
        <v>9</v>
      </c>
      <c r="R41" s="7">
        <v>7432.7799999999897</v>
      </c>
      <c r="S41" s="7">
        <v>7432.0435280706697</v>
      </c>
      <c r="T41" s="3">
        <f t="shared" si="3"/>
        <v>9.9084316947364685E-3</v>
      </c>
      <c r="U41" s="1">
        <v>38</v>
      </c>
      <c r="V41" s="1">
        <v>7</v>
      </c>
      <c r="AP41" s="5"/>
      <c r="AQ41" s="5"/>
      <c r="AR41" s="5"/>
      <c r="AS41" s="5"/>
      <c r="AT41" s="5"/>
      <c r="AU41" s="5"/>
      <c r="AV41" s="5"/>
    </row>
    <row r="42" spans="1:48">
      <c r="A42" s="21"/>
      <c r="B42" t="s">
        <v>11</v>
      </c>
      <c r="C42" s="7">
        <v>5399.9449999999997</v>
      </c>
      <c r="D42" s="7">
        <v>5399.9449999999997</v>
      </c>
      <c r="E42" s="3">
        <f t="shared" si="0"/>
        <v>0</v>
      </c>
      <c r="F42" s="1">
        <v>4</v>
      </c>
      <c r="G42" s="1">
        <v>15</v>
      </c>
      <c r="H42" s="7">
        <v>6292.02</v>
      </c>
      <c r="I42" s="7">
        <v>6291.4173147131296</v>
      </c>
      <c r="J42" s="3">
        <f t="shared" si="1"/>
        <v>9.5785659751691406E-3</v>
      </c>
      <c r="K42" s="1">
        <v>11</v>
      </c>
      <c r="L42" s="1">
        <v>13</v>
      </c>
      <c r="M42" s="7">
        <v>6867.9849999999997</v>
      </c>
      <c r="N42" s="7">
        <v>6867.30192326413</v>
      </c>
      <c r="O42" s="3">
        <f t="shared" si="2"/>
        <v>9.9458099554627782E-3</v>
      </c>
      <c r="P42" s="1">
        <v>23</v>
      </c>
      <c r="Q42" s="1">
        <v>9</v>
      </c>
      <c r="R42" s="7">
        <v>7254.08</v>
      </c>
      <c r="S42" s="7">
        <v>7253.3711904553402</v>
      </c>
      <c r="T42" s="3">
        <f t="shared" si="3"/>
        <v>9.7711845562737602E-3</v>
      </c>
      <c r="U42" s="1">
        <v>89</v>
      </c>
      <c r="V42" s="1">
        <v>6</v>
      </c>
    </row>
    <row r="43" spans="1:48">
      <c r="A43" s="21" t="s">
        <v>57</v>
      </c>
      <c r="B43" t="s">
        <v>7</v>
      </c>
      <c r="C43" s="7">
        <v>6384.04</v>
      </c>
      <c r="D43" s="7">
        <v>6384.04</v>
      </c>
      <c r="E43" s="3">
        <f t="shared" si="0"/>
        <v>0</v>
      </c>
      <c r="F43" s="1">
        <v>2</v>
      </c>
      <c r="G43" s="1">
        <v>12</v>
      </c>
      <c r="H43" s="7">
        <v>7116.6</v>
      </c>
      <c r="I43" s="7">
        <v>7116.0168367346896</v>
      </c>
      <c r="J43" s="3">
        <f t="shared" si="1"/>
        <v>8.1944083594800744E-3</v>
      </c>
      <c r="K43" s="1">
        <v>3</v>
      </c>
      <c r="L43" s="1">
        <v>10</v>
      </c>
      <c r="M43" s="7">
        <v>7746.9</v>
      </c>
      <c r="N43" s="7">
        <v>7746.9</v>
      </c>
      <c r="O43" s="3">
        <f t="shared" si="2"/>
        <v>0</v>
      </c>
      <c r="P43" s="1">
        <v>5</v>
      </c>
      <c r="Q43" s="1">
        <v>10</v>
      </c>
      <c r="R43" s="7">
        <v>8297</v>
      </c>
      <c r="S43" s="7">
        <v>8297</v>
      </c>
      <c r="T43" s="3">
        <f t="shared" si="3"/>
        <v>0</v>
      </c>
      <c r="U43" s="1">
        <v>7</v>
      </c>
      <c r="V43" s="1">
        <v>8</v>
      </c>
    </row>
    <row r="44" spans="1:48">
      <c r="A44" s="21"/>
      <c r="B44" t="s">
        <v>8</v>
      </c>
      <c r="C44" s="7">
        <v>6146.0649999999996</v>
      </c>
      <c r="D44" s="7">
        <v>6146.0649999999996</v>
      </c>
      <c r="E44" s="3">
        <f t="shared" si="0"/>
        <v>0</v>
      </c>
      <c r="F44" s="1">
        <v>1</v>
      </c>
      <c r="G44" s="1">
        <v>10</v>
      </c>
      <c r="H44" s="7">
        <v>6723.91</v>
      </c>
      <c r="I44" s="7">
        <v>6723.91</v>
      </c>
      <c r="J44" s="3">
        <f t="shared" si="1"/>
        <v>0</v>
      </c>
      <c r="K44" s="1">
        <v>2</v>
      </c>
      <c r="L44" s="1">
        <v>9</v>
      </c>
      <c r="M44" s="7">
        <v>7212.08</v>
      </c>
      <c r="N44" s="7">
        <v>7212.08</v>
      </c>
      <c r="O44" s="3">
        <f t="shared" si="2"/>
        <v>0</v>
      </c>
      <c r="P44" s="1">
        <v>3</v>
      </c>
      <c r="Q44" s="1">
        <v>8</v>
      </c>
      <c r="R44" s="7">
        <v>7629.6</v>
      </c>
      <c r="S44" s="7">
        <v>7629.6</v>
      </c>
      <c r="T44" s="3">
        <f t="shared" si="3"/>
        <v>0</v>
      </c>
      <c r="U44" s="1">
        <v>1</v>
      </c>
      <c r="V44" s="1">
        <v>7</v>
      </c>
    </row>
    <row r="45" spans="1:48">
      <c r="A45" s="21"/>
      <c r="B45" t="s">
        <v>9</v>
      </c>
      <c r="C45" s="7">
        <v>7311.4</v>
      </c>
      <c r="D45" s="7">
        <v>7311.4</v>
      </c>
      <c r="E45" s="3">
        <f t="shared" si="0"/>
        <v>0</v>
      </c>
      <c r="F45" s="1">
        <v>2</v>
      </c>
      <c r="G45" s="1">
        <v>12</v>
      </c>
      <c r="H45" s="7">
        <v>8110.85</v>
      </c>
      <c r="I45" s="7">
        <v>8110.85</v>
      </c>
      <c r="J45" s="3">
        <f t="shared" si="1"/>
        <v>0</v>
      </c>
      <c r="K45" s="1">
        <v>3</v>
      </c>
      <c r="L45" s="1">
        <v>9</v>
      </c>
      <c r="M45" s="7">
        <v>8689.68</v>
      </c>
      <c r="N45" s="7">
        <v>8689.68</v>
      </c>
      <c r="O45" s="3">
        <f t="shared" si="2"/>
        <v>0</v>
      </c>
      <c r="P45" s="1">
        <v>7</v>
      </c>
      <c r="Q45" s="1">
        <v>7</v>
      </c>
      <c r="R45" s="7">
        <v>9195.24</v>
      </c>
      <c r="S45" s="7">
        <v>9195.24</v>
      </c>
      <c r="T45" s="3">
        <f t="shared" si="3"/>
        <v>0</v>
      </c>
      <c r="U45" s="1">
        <v>10</v>
      </c>
      <c r="V45" s="1">
        <v>7</v>
      </c>
    </row>
    <row r="46" spans="1:48">
      <c r="A46" s="21"/>
      <c r="B46" t="s">
        <v>10</v>
      </c>
      <c r="C46" s="7">
        <v>6442.2200000000103</v>
      </c>
      <c r="D46" s="7">
        <v>6442.2200000000103</v>
      </c>
      <c r="E46" s="3">
        <f t="shared" si="0"/>
        <v>0</v>
      </c>
      <c r="F46" s="1">
        <v>2</v>
      </c>
      <c r="G46" s="1">
        <v>13</v>
      </c>
      <c r="H46" s="7">
        <v>7321.84</v>
      </c>
      <c r="I46" s="7">
        <v>7321.84</v>
      </c>
      <c r="J46" s="3">
        <f t="shared" si="1"/>
        <v>0</v>
      </c>
      <c r="K46" s="1">
        <v>4</v>
      </c>
      <c r="L46" s="1">
        <v>12</v>
      </c>
      <c r="M46" s="7">
        <v>7928.88</v>
      </c>
      <c r="N46" s="7">
        <v>7928.88</v>
      </c>
      <c r="O46" s="3">
        <f t="shared" si="2"/>
        <v>0</v>
      </c>
      <c r="P46" s="1">
        <v>6</v>
      </c>
      <c r="Q46" s="1">
        <v>8</v>
      </c>
      <c r="R46" s="7">
        <v>8429.84</v>
      </c>
      <c r="S46" s="7">
        <v>8429.84</v>
      </c>
      <c r="T46" s="3">
        <f t="shared" si="3"/>
        <v>0</v>
      </c>
      <c r="U46" s="1">
        <v>4</v>
      </c>
      <c r="V46" s="1">
        <v>8</v>
      </c>
    </row>
    <row r="47" spans="1:48">
      <c r="A47" s="21"/>
      <c r="B47" t="s">
        <v>11</v>
      </c>
      <c r="C47" s="7">
        <v>6474.1149999999998</v>
      </c>
      <c r="D47" s="7">
        <v>6474.1149999999998</v>
      </c>
      <c r="E47" s="3">
        <f t="shared" si="0"/>
        <v>0</v>
      </c>
      <c r="F47" s="1">
        <v>2</v>
      </c>
      <c r="G47" s="1">
        <v>11</v>
      </c>
      <c r="H47" s="7">
        <v>7242.62</v>
      </c>
      <c r="I47" s="7">
        <v>7242.5087966101701</v>
      </c>
      <c r="J47" s="3">
        <f t="shared" si="1"/>
        <v>1.5354027938760425E-3</v>
      </c>
      <c r="K47" s="1">
        <v>5</v>
      </c>
      <c r="L47" s="1">
        <v>10</v>
      </c>
      <c r="M47" s="7">
        <v>7874.54</v>
      </c>
      <c r="N47" s="7">
        <v>7874.54</v>
      </c>
      <c r="O47" s="3">
        <f t="shared" si="2"/>
        <v>0</v>
      </c>
      <c r="P47" s="1">
        <v>3</v>
      </c>
      <c r="Q47" s="1">
        <v>7</v>
      </c>
      <c r="R47" s="7">
        <v>8346.82</v>
      </c>
      <c r="S47" s="7">
        <v>8346.3446388024404</v>
      </c>
      <c r="T47" s="3">
        <f t="shared" si="3"/>
        <v>5.695117392723493E-3</v>
      </c>
      <c r="U47" s="1">
        <v>4</v>
      </c>
      <c r="V47" s="1">
        <v>7</v>
      </c>
    </row>
    <row r="48" spans="1:48">
      <c r="A48" s="21" t="s">
        <v>58</v>
      </c>
      <c r="B48" t="s">
        <v>7</v>
      </c>
      <c r="C48" s="7">
        <v>6492.9</v>
      </c>
      <c r="D48" s="7">
        <v>6492.9</v>
      </c>
      <c r="E48" s="3">
        <f t="shared" si="0"/>
        <v>0</v>
      </c>
      <c r="F48" s="1">
        <v>14</v>
      </c>
      <c r="G48" s="1">
        <v>13</v>
      </c>
      <c r="H48" s="7">
        <v>7276.25</v>
      </c>
      <c r="I48" s="7">
        <v>7275.5855192660501</v>
      </c>
      <c r="J48" s="3">
        <f t="shared" si="1"/>
        <v>9.1321866888831264E-3</v>
      </c>
      <c r="K48" s="1">
        <v>33</v>
      </c>
      <c r="L48" s="1">
        <v>11</v>
      </c>
      <c r="M48" s="7">
        <v>7846.625</v>
      </c>
      <c r="N48" s="7">
        <v>7845.8677026502701</v>
      </c>
      <c r="O48" s="3">
        <f t="shared" si="2"/>
        <v>9.6512494190804897E-3</v>
      </c>
      <c r="P48" s="1">
        <v>25</v>
      </c>
      <c r="Q48" s="1">
        <v>7</v>
      </c>
      <c r="R48" s="7">
        <v>8277.2999999999993</v>
      </c>
      <c r="S48" s="7">
        <v>8276.6200000000008</v>
      </c>
      <c r="T48" s="3">
        <f t="shared" si="3"/>
        <v>8.215239268825246E-3</v>
      </c>
      <c r="U48" s="1">
        <v>30</v>
      </c>
      <c r="V48" s="1">
        <v>7</v>
      </c>
    </row>
    <row r="49" spans="1:22">
      <c r="A49" s="21"/>
      <c r="B49" t="s">
        <v>8</v>
      </c>
      <c r="C49" s="7">
        <v>6010.5450000000001</v>
      </c>
      <c r="D49" s="7">
        <v>6010.5450000000001</v>
      </c>
      <c r="E49" s="3">
        <f t="shared" si="0"/>
        <v>0</v>
      </c>
      <c r="F49" s="1">
        <v>17</v>
      </c>
      <c r="G49" s="1">
        <v>12</v>
      </c>
      <c r="H49" s="7">
        <v>6759.48</v>
      </c>
      <c r="I49" s="7">
        <v>6759.48</v>
      </c>
      <c r="J49" s="3">
        <f t="shared" si="1"/>
        <v>0</v>
      </c>
      <c r="K49" s="1">
        <v>26</v>
      </c>
      <c r="L49" s="1">
        <v>11</v>
      </c>
      <c r="M49" s="7">
        <v>7361.4</v>
      </c>
      <c r="N49" s="7">
        <v>7360.7061153219101</v>
      </c>
      <c r="O49" s="3">
        <f t="shared" si="2"/>
        <v>9.4259879654615859E-3</v>
      </c>
      <c r="P49" s="1">
        <v>40</v>
      </c>
      <c r="Q49" s="1">
        <v>9</v>
      </c>
      <c r="R49" s="7">
        <v>7827.9</v>
      </c>
      <c r="S49" s="7">
        <v>7827.1404444212603</v>
      </c>
      <c r="T49" s="3">
        <f t="shared" si="3"/>
        <v>9.7031844905953006E-3</v>
      </c>
      <c r="U49" s="1">
        <v>60</v>
      </c>
      <c r="V49" s="1">
        <v>7</v>
      </c>
    </row>
    <row r="50" spans="1:22">
      <c r="A50" s="21"/>
      <c r="B50" t="s">
        <v>9</v>
      </c>
      <c r="C50" s="7">
        <v>6228.9</v>
      </c>
      <c r="D50" s="7">
        <v>6228.9</v>
      </c>
      <c r="E50" s="3">
        <f t="shared" si="0"/>
        <v>0</v>
      </c>
      <c r="F50" s="1">
        <v>7</v>
      </c>
      <c r="G50" s="1">
        <v>14</v>
      </c>
      <c r="H50" s="7">
        <v>7050.65</v>
      </c>
      <c r="I50" s="7">
        <v>7050.0783851997403</v>
      </c>
      <c r="J50" s="3">
        <f t="shared" si="1"/>
        <v>8.1072638729668897E-3</v>
      </c>
      <c r="K50" s="1">
        <v>20</v>
      </c>
      <c r="L50" s="1">
        <v>11</v>
      </c>
      <c r="M50" s="7">
        <v>7619.3050000000003</v>
      </c>
      <c r="N50" s="7">
        <v>7618.6853569534596</v>
      </c>
      <c r="O50" s="3">
        <f t="shared" si="2"/>
        <v>8.1325402584705459E-3</v>
      </c>
      <c r="P50" s="1">
        <v>22</v>
      </c>
      <c r="Q50" s="1">
        <v>8</v>
      </c>
      <c r="R50" s="7">
        <v>8052.88</v>
      </c>
      <c r="S50" s="7">
        <v>8052.18</v>
      </c>
      <c r="T50" s="3">
        <f t="shared" si="3"/>
        <v>8.6925422954249668E-3</v>
      </c>
      <c r="U50" s="1">
        <v>21</v>
      </c>
      <c r="V50" s="1">
        <v>7</v>
      </c>
    </row>
    <row r="51" spans="1:22">
      <c r="A51" s="21"/>
      <c r="B51" t="s">
        <v>10</v>
      </c>
      <c r="C51" s="7">
        <v>6460.9</v>
      </c>
      <c r="D51" s="7">
        <v>6460.9</v>
      </c>
      <c r="E51" s="3">
        <f t="shared" si="0"/>
        <v>0</v>
      </c>
      <c r="F51" s="1">
        <v>17</v>
      </c>
      <c r="G51" s="1">
        <v>11</v>
      </c>
      <c r="H51" s="7">
        <v>7124.06</v>
      </c>
      <c r="I51" s="7">
        <v>7123.37709295894</v>
      </c>
      <c r="J51" s="3">
        <f t="shared" si="1"/>
        <v>9.5859248947985989E-3</v>
      </c>
      <c r="K51" s="1">
        <v>11</v>
      </c>
      <c r="L51" s="1">
        <v>9</v>
      </c>
      <c r="M51" s="7">
        <v>7678.44</v>
      </c>
      <c r="N51" s="7">
        <v>7678.0466828552699</v>
      </c>
      <c r="O51" s="3">
        <f t="shared" si="2"/>
        <v>5.1223574675290226E-3</v>
      </c>
      <c r="P51" s="1">
        <v>15</v>
      </c>
      <c r="Q51" s="1">
        <v>9</v>
      </c>
      <c r="R51" s="7">
        <v>8152.36</v>
      </c>
      <c r="S51" s="7">
        <v>8151.6758698372996</v>
      </c>
      <c r="T51" s="3">
        <f t="shared" si="3"/>
        <v>8.3918051055161657E-3</v>
      </c>
      <c r="U51" s="1">
        <v>42</v>
      </c>
      <c r="V51" s="1">
        <v>7</v>
      </c>
    </row>
    <row r="52" spans="1:22">
      <c r="A52" s="21"/>
      <c r="B52" t="s">
        <v>11</v>
      </c>
      <c r="C52" s="7">
        <v>6514.09</v>
      </c>
      <c r="D52" s="7">
        <v>6513.4904433811498</v>
      </c>
      <c r="E52" s="3">
        <f t="shared" si="0"/>
        <v>9.2039965497917424E-3</v>
      </c>
      <c r="F52" s="1">
        <v>20</v>
      </c>
      <c r="G52" s="1">
        <v>12</v>
      </c>
      <c r="H52" s="7">
        <v>7320.92</v>
      </c>
      <c r="I52" s="7">
        <v>7320.4635067264699</v>
      </c>
      <c r="J52" s="3">
        <f t="shared" si="1"/>
        <v>6.235463214052518E-3</v>
      </c>
      <c r="K52" s="1">
        <v>25</v>
      </c>
      <c r="L52" s="1">
        <v>10</v>
      </c>
      <c r="M52" s="7">
        <v>7897.74</v>
      </c>
      <c r="N52" s="7">
        <v>7897.0336511627902</v>
      </c>
      <c r="O52" s="3">
        <f t="shared" si="2"/>
        <v>8.9436830942723981E-3</v>
      </c>
      <c r="P52" s="1">
        <v>35</v>
      </c>
      <c r="Q52" s="1">
        <v>8</v>
      </c>
      <c r="R52" s="7">
        <v>8355.2999999999993</v>
      </c>
      <c r="S52" s="7">
        <v>8354.6373150118307</v>
      </c>
      <c r="T52" s="3">
        <f t="shared" si="3"/>
        <v>7.9313129171737842E-3</v>
      </c>
      <c r="U52" s="1">
        <v>33</v>
      </c>
      <c r="V52" s="1">
        <v>7</v>
      </c>
    </row>
    <row r="53" spans="1:22">
      <c r="A53" s="21" t="s">
        <v>59</v>
      </c>
      <c r="B53" t="s">
        <v>7</v>
      </c>
      <c r="C53" s="7">
        <v>5991.9199999999901</v>
      </c>
      <c r="D53" s="7">
        <v>5991.7984727755302</v>
      </c>
      <c r="E53" s="3">
        <f t="shared" si="0"/>
        <v>2.0281850301722419E-3</v>
      </c>
      <c r="F53" s="1">
        <v>21</v>
      </c>
      <c r="G53" s="1">
        <v>15</v>
      </c>
      <c r="H53" s="7">
        <v>6958.17</v>
      </c>
      <c r="I53" s="7">
        <v>6957.6677756319596</v>
      </c>
      <c r="J53" s="3">
        <f t="shared" si="1"/>
        <v>7.2177651313565985E-3</v>
      </c>
      <c r="K53" s="1">
        <v>54</v>
      </c>
      <c r="L53" s="1">
        <v>13</v>
      </c>
      <c r="M53" s="7">
        <v>7757.46</v>
      </c>
      <c r="N53" s="7">
        <v>7756.7496008670896</v>
      </c>
      <c r="O53" s="3">
        <f t="shared" si="2"/>
        <v>9.1576254716160283E-3</v>
      </c>
      <c r="P53" s="1">
        <v>378</v>
      </c>
      <c r="Q53" s="1">
        <v>12</v>
      </c>
      <c r="R53" s="7">
        <v>8406.1200000000008</v>
      </c>
      <c r="S53" s="7">
        <v>8405.3302669001005</v>
      </c>
      <c r="T53" s="3">
        <f t="shared" si="3"/>
        <v>9.3947397836377719E-3</v>
      </c>
      <c r="U53" s="1">
        <v>130</v>
      </c>
      <c r="V53" s="1">
        <v>10</v>
      </c>
    </row>
    <row r="54" spans="1:22">
      <c r="A54" s="21"/>
      <c r="B54" t="s">
        <v>8</v>
      </c>
      <c r="C54" s="7">
        <v>6012.76</v>
      </c>
      <c r="D54" s="7">
        <v>6012.6159462956703</v>
      </c>
      <c r="E54" s="3">
        <f t="shared" si="0"/>
        <v>2.395800004157205E-3</v>
      </c>
      <c r="F54" s="1">
        <v>25</v>
      </c>
      <c r="G54" s="1">
        <v>15</v>
      </c>
      <c r="H54" s="7">
        <v>6912.38</v>
      </c>
      <c r="I54" s="7">
        <v>6911.7682867783997</v>
      </c>
      <c r="J54" s="3">
        <f t="shared" si="1"/>
        <v>8.8495311542542403E-3</v>
      </c>
      <c r="K54" s="1">
        <v>28</v>
      </c>
      <c r="L54" s="1">
        <v>11</v>
      </c>
      <c r="M54" s="7">
        <v>7500.6850000000004</v>
      </c>
      <c r="N54" s="7">
        <v>7500.29789463611</v>
      </c>
      <c r="O54" s="3">
        <f t="shared" si="2"/>
        <v>5.160933486614107E-3</v>
      </c>
      <c r="P54" s="1">
        <v>25</v>
      </c>
      <c r="Q54" s="1">
        <v>8</v>
      </c>
      <c r="R54" s="7">
        <v>7931.28</v>
      </c>
      <c r="S54" s="7">
        <v>7930.54</v>
      </c>
      <c r="T54" s="3">
        <f t="shared" si="3"/>
        <v>9.3301459537398976E-3</v>
      </c>
      <c r="U54" s="1">
        <v>38</v>
      </c>
      <c r="V54" s="1">
        <v>7</v>
      </c>
    </row>
    <row r="55" spans="1:22">
      <c r="A55" s="21"/>
      <c r="B55" t="s">
        <v>9</v>
      </c>
      <c r="C55" s="7">
        <v>6047.14</v>
      </c>
      <c r="D55" s="7">
        <v>6047.14</v>
      </c>
      <c r="E55" s="3">
        <f t="shared" si="0"/>
        <v>0</v>
      </c>
      <c r="F55" s="1">
        <v>19</v>
      </c>
      <c r="G55" s="1">
        <v>15</v>
      </c>
      <c r="H55" s="7">
        <v>6916.74</v>
      </c>
      <c r="I55" s="7">
        <v>6916.4578174956996</v>
      </c>
      <c r="J55" s="3">
        <f t="shared" si="1"/>
        <v>4.0797037954322544E-3</v>
      </c>
      <c r="K55" s="1">
        <v>30</v>
      </c>
      <c r="L55" s="1">
        <v>12</v>
      </c>
      <c r="M55" s="7">
        <v>7614.6300000000101</v>
      </c>
      <c r="N55" s="7">
        <v>7613.8718852458996</v>
      </c>
      <c r="O55" s="3">
        <f t="shared" si="2"/>
        <v>9.9560287776354808E-3</v>
      </c>
      <c r="P55" s="1">
        <v>44</v>
      </c>
      <c r="Q55" s="1">
        <v>10</v>
      </c>
      <c r="R55" s="7">
        <v>8173.38</v>
      </c>
      <c r="S55" s="7">
        <v>8172.6641441441398</v>
      </c>
      <c r="T55" s="3">
        <f t="shared" si="3"/>
        <v>8.7583821608729125E-3</v>
      </c>
      <c r="U55" s="1">
        <v>67</v>
      </c>
      <c r="V55" s="1">
        <v>9</v>
      </c>
    </row>
    <row r="56" spans="1:22">
      <c r="A56" s="21"/>
      <c r="B56" t="s">
        <v>10</v>
      </c>
      <c r="C56" s="7">
        <v>6488.15</v>
      </c>
      <c r="D56" s="7">
        <v>6487.9543026328802</v>
      </c>
      <c r="E56" s="3">
        <f t="shared" si="0"/>
        <v>3.0162275397372846E-3</v>
      </c>
      <c r="F56" s="1">
        <v>24</v>
      </c>
      <c r="G56" s="1">
        <v>15</v>
      </c>
      <c r="H56" s="7">
        <v>7429.46</v>
      </c>
      <c r="I56" s="7">
        <v>7428.8280575313001</v>
      </c>
      <c r="J56" s="3">
        <f t="shared" si="1"/>
        <v>8.5059004113339342E-3</v>
      </c>
      <c r="K56" s="1">
        <v>43</v>
      </c>
      <c r="L56" s="1">
        <v>11</v>
      </c>
      <c r="M56" s="7">
        <v>8075.4650000000001</v>
      </c>
      <c r="N56" s="7">
        <v>8074.65889520567</v>
      </c>
      <c r="O56" s="3">
        <f t="shared" si="2"/>
        <v>9.9821470878787445E-3</v>
      </c>
      <c r="P56" s="1">
        <v>214</v>
      </c>
      <c r="Q56" s="1">
        <v>8</v>
      </c>
      <c r="R56" s="7">
        <v>8560.74</v>
      </c>
      <c r="S56" s="7">
        <v>8559.8966898481995</v>
      </c>
      <c r="T56" s="3">
        <f t="shared" si="3"/>
        <v>9.8509025131042899E-3</v>
      </c>
      <c r="U56" s="1">
        <v>260</v>
      </c>
      <c r="V56" s="1">
        <v>7</v>
      </c>
    </row>
    <row r="57" spans="1:22">
      <c r="A57" s="21"/>
      <c r="B57" t="s">
        <v>11</v>
      </c>
      <c r="C57" s="7">
        <v>5891.3850000000002</v>
      </c>
      <c r="D57" s="7">
        <v>5891.3850000000002</v>
      </c>
      <c r="E57" s="3">
        <f t="shared" si="0"/>
        <v>0</v>
      </c>
      <c r="F57" s="1">
        <v>18</v>
      </c>
      <c r="G57" s="1">
        <v>16</v>
      </c>
      <c r="H57" s="7">
        <v>6690.15</v>
      </c>
      <c r="I57" s="7">
        <v>6689.6852959140397</v>
      </c>
      <c r="J57" s="3">
        <f t="shared" si="1"/>
        <v>6.9460936744313011E-3</v>
      </c>
      <c r="K57" s="1">
        <v>47</v>
      </c>
      <c r="L57" s="1">
        <v>12</v>
      </c>
      <c r="M57" s="7">
        <v>7345.38</v>
      </c>
      <c r="N57" s="7">
        <v>7344.6642156573098</v>
      </c>
      <c r="O57" s="3">
        <f t="shared" si="2"/>
        <v>9.7446877178622854E-3</v>
      </c>
      <c r="P57" s="1">
        <v>113</v>
      </c>
      <c r="Q57" s="1">
        <v>10</v>
      </c>
      <c r="R57" s="7">
        <v>7805.84</v>
      </c>
      <c r="S57" s="7">
        <v>7805.1041484690004</v>
      </c>
      <c r="T57" s="3">
        <f t="shared" si="3"/>
        <v>9.4269358710882215E-3</v>
      </c>
      <c r="U57" s="1">
        <v>95</v>
      </c>
      <c r="V57" s="1">
        <v>7</v>
      </c>
    </row>
    <row r="58" spans="1:22">
      <c r="A58" s="21" t="s">
        <v>60</v>
      </c>
      <c r="B58" t="s">
        <v>7</v>
      </c>
      <c r="C58" s="7">
        <v>5894.86</v>
      </c>
      <c r="D58" s="7">
        <v>5894.3238574942297</v>
      </c>
      <c r="E58" s="3">
        <f t="shared" si="0"/>
        <v>9.0950846291503219E-3</v>
      </c>
      <c r="F58" s="1">
        <v>61</v>
      </c>
      <c r="G58" s="1">
        <v>14</v>
      </c>
      <c r="H58" s="7">
        <v>6795.39</v>
      </c>
      <c r="I58" s="7">
        <v>6794.8192016721896</v>
      </c>
      <c r="J58" s="3">
        <f t="shared" si="1"/>
        <v>8.3997876179400296E-3</v>
      </c>
      <c r="K58" s="1">
        <v>36</v>
      </c>
      <c r="L58" s="1">
        <v>11</v>
      </c>
      <c r="M58" s="7">
        <v>7365.875</v>
      </c>
      <c r="N58" s="7">
        <v>7365.2750772564004</v>
      </c>
      <c r="O58" s="3">
        <f t="shared" si="2"/>
        <v>8.144622921235611E-3</v>
      </c>
      <c r="P58" s="1">
        <v>78</v>
      </c>
      <c r="Q58" s="1">
        <v>8</v>
      </c>
      <c r="R58" s="7">
        <v>7860.18</v>
      </c>
      <c r="S58" s="7">
        <v>7859.3956129032304</v>
      </c>
      <c r="T58" s="3">
        <f t="shared" si="3"/>
        <v>9.9792510702036482E-3</v>
      </c>
      <c r="U58" s="1">
        <v>116</v>
      </c>
      <c r="V58" s="1">
        <v>7</v>
      </c>
    </row>
    <row r="59" spans="1:22">
      <c r="A59" s="21"/>
      <c r="B59" t="s">
        <v>8</v>
      </c>
      <c r="C59" s="7">
        <v>5906.61</v>
      </c>
      <c r="D59" s="7">
        <v>5906.0492710578201</v>
      </c>
      <c r="E59" s="3">
        <f t="shared" si="0"/>
        <v>9.4932447237856231E-3</v>
      </c>
      <c r="F59" s="1">
        <v>62</v>
      </c>
      <c r="G59" s="1">
        <v>15</v>
      </c>
      <c r="H59" s="7">
        <v>6781.87</v>
      </c>
      <c r="I59" s="7">
        <v>6781.2650531323798</v>
      </c>
      <c r="J59" s="3">
        <f t="shared" si="1"/>
        <v>8.9200599188738305E-3</v>
      </c>
      <c r="K59" s="1">
        <v>50</v>
      </c>
      <c r="L59" s="1">
        <v>11</v>
      </c>
      <c r="M59" s="7">
        <v>7425.06</v>
      </c>
      <c r="N59" s="7">
        <v>7424.3222496340004</v>
      </c>
      <c r="O59" s="3">
        <f t="shared" si="2"/>
        <v>9.9359515748020915E-3</v>
      </c>
      <c r="P59" s="1">
        <v>143</v>
      </c>
      <c r="Q59" s="1">
        <v>10</v>
      </c>
      <c r="R59" s="7">
        <v>7956.24</v>
      </c>
      <c r="S59" s="7">
        <v>7955.4832509341204</v>
      </c>
      <c r="T59" s="3">
        <f t="shared" si="3"/>
        <v>9.5113906302396103E-3</v>
      </c>
      <c r="U59" s="1">
        <v>152</v>
      </c>
      <c r="V59" s="1">
        <v>8</v>
      </c>
    </row>
    <row r="60" spans="1:22">
      <c r="A60" s="21"/>
      <c r="B60" t="s">
        <v>9</v>
      </c>
      <c r="C60" s="7">
        <v>6041.63</v>
      </c>
      <c r="D60" s="7">
        <v>6041.3044354051699</v>
      </c>
      <c r="E60" s="3">
        <f t="shared" si="0"/>
        <v>5.3886880664690108E-3</v>
      </c>
      <c r="F60" s="1">
        <v>51</v>
      </c>
      <c r="G60" s="1">
        <v>16</v>
      </c>
      <c r="H60" s="7">
        <v>6999.55</v>
      </c>
      <c r="I60" s="7">
        <v>6998.8539201533004</v>
      </c>
      <c r="J60" s="3">
        <f t="shared" si="1"/>
        <v>9.9446371080973948E-3</v>
      </c>
      <c r="K60" s="1">
        <v>71</v>
      </c>
      <c r="L60" s="1">
        <v>12</v>
      </c>
      <c r="M60" s="7">
        <v>7641.0050000000001</v>
      </c>
      <c r="N60" s="7">
        <v>7640.2481951219497</v>
      </c>
      <c r="O60" s="3">
        <f t="shared" si="2"/>
        <v>9.9045201259571041E-3</v>
      </c>
      <c r="P60" s="1">
        <v>110</v>
      </c>
      <c r="Q60" s="1">
        <v>7</v>
      </c>
      <c r="R60" s="7">
        <v>8092.54</v>
      </c>
      <c r="S60" s="7">
        <v>8091.7560776882001</v>
      </c>
      <c r="T60" s="3">
        <f t="shared" si="3"/>
        <v>9.6869748163107006E-3</v>
      </c>
      <c r="U60" s="1">
        <v>139</v>
      </c>
      <c r="V60" s="1">
        <v>7</v>
      </c>
    </row>
    <row r="61" spans="1:22">
      <c r="A61" s="21"/>
      <c r="B61" t="s">
        <v>10</v>
      </c>
      <c r="C61" s="7">
        <v>5782.55</v>
      </c>
      <c r="D61" s="7">
        <v>5782.0619123565402</v>
      </c>
      <c r="E61" s="3">
        <f t="shared" si="0"/>
        <v>8.4406990594106165E-3</v>
      </c>
      <c r="F61" s="1">
        <v>42</v>
      </c>
      <c r="G61" s="1">
        <v>16</v>
      </c>
      <c r="H61" s="7">
        <v>6737.06</v>
      </c>
      <c r="I61" s="7">
        <v>6736.3883678239899</v>
      </c>
      <c r="J61" s="3">
        <f t="shared" si="1"/>
        <v>9.9692176707712552E-3</v>
      </c>
      <c r="K61" s="1">
        <v>90</v>
      </c>
      <c r="L61" s="1">
        <v>13</v>
      </c>
      <c r="M61" s="7">
        <v>7366.55</v>
      </c>
      <c r="N61" s="7">
        <v>7365.8242263409202</v>
      </c>
      <c r="O61" s="3">
        <f t="shared" si="2"/>
        <v>9.8522871504300516E-3</v>
      </c>
      <c r="P61" s="1">
        <v>77</v>
      </c>
      <c r="Q61" s="1">
        <v>8</v>
      </c>
      <c r="R61" s="7">
        <v>7816.8</v>
      </c>
      <c r="S61" s="7">
        <v>7816.0372156189596</v>
      </c>
      <c r="T61" s="3">
        <f t="shared" si="3"/>
        <v>9.7582691259920501E-3</v>
      </c>
      <c r="U61" s="1">
        <v>200</v>
      </c>
      <c r="V61" s="1">
        <v>8</v>
      </c>
    </row>
    <row r="62" spans="1:22">
      <c r="A62" s="21"/>
      <c r="B62" t="s">
        <v>11</v>
      </c>
      <c r="C62" s="7">
        <v>5644.73</v>
      </c>
      <c r="D62" s="7">
        <v>5644.5774828613003</v>
      </c>
      <c r="E62" s="3">
        <f t="shared" si="0"/>
        <v>2.701938599353648E-3</v>
      </c>
      <c r="F62" s="1">
        <v>51</v>
      </c>
      <c r="G62" s="1">
        <v>14</v>
      </c>
      <c r="H62" s="7">
        <v>6537.96</v>
      </c>
      <c r="I62" s="7">
        <v>6537.3078807537404</v>
      </c>
      <c r="J62" s="3">
        <f t="shared" si="1"/>
        <v>9.9743535637973404E-3</v>
      </c>
      <c r="K62" s="1">
        <v>40</v>
      </c>
      <c r="L62" s="1">
        <v>14</v>
      </c>
      <c r="M62" s="7">
        <v>7338.6949999999997</v>
      </c>
      <c r="N62" s="7">
        <v>7337.96952991322</v>
      </c>
      <c r="O62" s="3">
        <f t="shared" si="2"/>
        <v>9.8855462283110422E-3</v>
      </c>
      <c r="P62" s="1">
        <v>351</v>
      </c>
      <c r="Q62" s="1">
        <v>12</v>
      </c>
      <c r="R62" s="7">
        <v>7892.28</v>
      </c>
      <c r="S62" s="7">
        <v>7891.4914908658802</v>
      </c>
      <c r="T62" s="3">
        <f t="shared" si="3"/>
        <v>9.9908915309583797E-3</v>
      </c>
      <c r="U62" s="1">
        <v>1025</v>
      </c>
      <c r="V62" s="1">
        <v>8</v>
      </c>
    </row>
    <row r="63" spans="1:22">
      <c r="A63" s="21" t="s">
        <v>20</v>
      </c>
      <c r="B63" t="s">
        <v>7</v>
      </c>
      <c r="C63" s="7">
        <v>6838.3950000000004</v>
      </c>
      <c r="D63" s="7">
        <v>6838.3950000000004</v>
      </c>
      <c r="E63" s="3">
        <f t="shared" si="0"/>
        <v>0</v>
      </c>
      <c r="F63" s="1">
        <v>5</v>
      </c>
      <c r="G63" s="1">
        <v>13</v>
      </c>
      <c r="H63" s="7">
        <v>7711.79</v>
      </c>
      <c r="I63" s="7">
        <v>7711.79</v>
      </c>
      <c r="J63" s="3">
        <f t="shared" si="1"/>
        <v>0</v>
      </c>
      <c r="K63" s="1">
        <v>6</v>
      </c>
      <c r="L63" s="1">
        <v>13</v>
      </c>
      <c r="M63" s="7">
        <v>8468.9449999999997</v>
      </c>
      <c r="N63" s="7">
        <v>8468.5970662767195</v>
      </c>
      <c r="O63" s="3">
        <f t="shared" si="2"/>
        <v>4.1083478907965616E-3</v>
      </c>
      <c r="P63" s="1">
        <v>11</v>
      </c>
      <c r="Q63" s="1">
        <v>11</v>
      </c>
      <c r="R63" s="7">
        <v>9163.1200000000008</v>
      </c>
      <c r="S63" s="7">
        <v>9163.1200000000008</v>
      </c>
      <c r="T63" s="3">
        <f t="shared" si="3"/>
        <v>0</v>
      </c>
      <c r="U63" s="1">
        <v>26</v>
      </c>
      <c r="V63" s="1">
        <v>10</v>
      </c>
    </row>
    <row r="64" spans="1:22">
      <c r="A64" s="21"/>
      <c r="B64" t="s">
        <v>8</v>
      </c>
      <c r="C64" s="7">
        <v>6666.4650000000001</v>
      </c>
      <c r="D64" s="7">
        <v>6666.4650000000001</v>
      </c>
      <c r="E64" s="3">
        <f t="shared" si="0"/>
        <v>0</v>
      </c>
      <c r="F64" s="1">
        <v>3</v>
      </c>
      <c r="G64" s="1">
        <v>10</v>
      </c>
      <c r="H64" s="7">
        <v>7262.41</v>
      </c>
      <c r="I64" s="7">
        <v>7262.41</v>
      </c>
      <c r="J64" s="3">
        <f t="shared" si="1"/>
        <v>0</v>
      </c>
      <c r="K64" s="1">
        <v>3</v>
      </c>
      <c r="L64" s="1">
        <v>9</v>
      </c>
      <c r="M64" s="7">
        <v>7819.2650000000003</v>
      </c>
      <c r="N64" s="7">
        <v>7819.2650000000003</v>
      </c>
      <c r="O64" s="3">
        <f t="shared" si="2"/>
        <v>0</v>
      </c>
      <c r="P64" s="1">
        <v>2</v>
      </c>
      <c r="Q64" s="1">
        <v>9</v>
      </c>
      <c r="R64" s="7">
        <v>8308.52</v>
      </c>
      <c r="S64" s="7">
        <v>8308.52</v>
      </c>
      <c r="T64" s="3">
        <f t="shared" si="3"/>
        <v>0</v>
      </c>
      <c r="U64" s="1">
        <v>4</v>
      </c>
      <c r="V64" s="1">
        <v>8</v>
      </c>
    </row>
    <row r="65" spans="1:22">
      <c r="A65" s="21"/>
      <c r="B65" t="s">
        <v>9</v>
      </c>
      <c r="C65" s="7">
        <v>7619.1049999999996</v>
      </c>
      <c r="D65" s="7">
        <v>7619.1049999999996</v>
      </c>
      <c r="E65" s="3">
        <f t="shared" si="0"/>
        <v>0</v>
      </c>
      <c r="F65" s="1">
        <v>9</v>
      </c>
      <c r="G65" s="1">
        <v>13</v>
      </c>
      <c r="H65" s="7">
        <v>8568.35</v>
      </c>
      <c r="I65" s="7">
        <v>8567.9251130081302</v>
      </c>
      <c r="J65" s="3">
        <f t="shared" si="1"/>
        <v>4.9587959393600049E-3</v>
      </c>
      <c r="K65" s="1">
        <v>11</v>
      </c>
      <c r="L65" s="1">
        <v>9</v>
      </c>
      <c r="M65" s="7">
        <v>9228.875</v>
      </c>
      <c r="N65" s="7">
        <v>9228.6601288131096</v>
      </c>
      <c r="O65" s="3">
        <f t="shared" si="2"/>
        <v>2.3282489674026079E-3</v>
      </c>
      <c r="P65" s="1">
        <v>17</v>
      </c>
      <c r="Q65" s="1">
        <v>9</v>
      </c>
      <c r="R65" s="7">
        <v>9872.58</v>
      </c>
      <c r="S65" s="7">
        <v>9872.58</v>
      </c>
      <c r="T65" s="3">
        <f t="shared" si="3"/>
        <v>0</v>
      </c>
      <c r="U65" s="1">
        <v>26</v>
      </c>
      <c r="V65" s="1">
        <v>8</v>
      </c>
    </row>
    <row r="66" spans="1:22">
      <c r="A66" s="21"/>
      <c r="B66" t="s">
        <v>10</v>
      </c>
      <c r="C66" s="7">
        <v>6726.4350000000004</v>
      </c>
      <c r="D66" s="7">
        <v>6726.4350000000004</v>
      </c>
      <c r="E66" s="3">
        <f t="shared" si="0"/>
        <v>0</v>
      </c>
      <c r="F66" s="1">
        <v>3</v>
      </c>
      <c r="G66" s="1">
        <v>14</v>
      </c>
      <c r="H66" s="7">
        <v>7694.67</v>
      </c>
      <c r="I66" s="7">
        <v>7694.67</v>
      </c>
      <c r="J66" s="3">
        <f t="shared" si="1"/>
        <v>0</v>
      </c>
      <c r="K66" s="1">
        <v>8</v>
      </c>
      <c r="L66" s="1">
        <v>13</v>
      </c>
      <c r="M66" s="7">
        <v>8456.56</v>
      </c>
      <c r="N66" s="7">
        <v>8456.56</v>
      </c>
      <c r="O66" s="3">
        <f t="shared" si="2"/>
        <v>0</v>
      </c>
      <c r="P66" s="1">
        <v>10</v>
      </c>
      <c r="Q66" s="1">
        <v>10</v>
      </c>
      <c r="R66" s="7">
        <v>9013</v>
      </c>
      <c r="S66" s="7">
        <v>9013</v>
      </c>
      <c r="T66" s="3">
        <f t="shared" si="3"/>
        <v>0</v>
      </c>
      <c r="U66" s="1">
        <v>11</v>
      </c>
      <c r="V66" s="1">
        <v>8</v>
      </c>
    </row>
    <row r="67" spans="1:22">
      <c r="A67" s="21"/>
      <c r="B67" t="s">
        <v>11</v>
      </c>
      <c r="C67" s="7">
        <v>6793.125</v>
      </c>
      <c r="D67" s="7">
        <v>6793.125</v>
      </c>
      <c r="E67" s="3">
        <f t="shared" ref="E67:E82" si="21">(C67-D67)/C67*100</f>
        <v>0</v>
      </c>
      <c r="F67" s="1">
        <v>2</v>
      </c>
      <c r="G67" s="1">
        <v>12</v>
      </c>
      <c r="H67" s="7">
        <v>7659.75</v>
      </c>
      <c r="I67" s="7">
        <v>7659.75</v>
      </c>
      <c r="J67" s="3">
        <f t="shared" ref="J67:J82" si="22">(H67-I67)/H67*100</f>
        <v>0</v>
      </c>
      <c r="K67" s="1">
        <v>10</v>
      </c>
      <c r="L67" s="1">
        <v>12</v>
      </c>
      <c r="M67" s="7">
        <v>8355.77</v>
      </c>
      <c r="N67" s="7">
        <v>8355.77</v>
      </c>
      <c r="O67" s="3">
        <f t="shared" ref="O67:O82" si="23">(M67-N67)/M67*100</f>
        <v>0</v>
      </c>
      <c r="P67" s="1">
        <v>8</v>
      </c>
      <c r="Q67" s="1">
        <v>8</v>
      </c>
      <c r="R67" s="7">
        <v>8919.16</v>
      </c>
      <c r="S67" s="7">
        <v>8919.16</v>
      </c>
      <c r="T67" s="3">
        <f t="shared" ref="T67:T82" si="24">(R67-S67)/R67*100</f>
        <v>0</v>
      </c>
      <c r="U67" s="1">
        <v>12</v>
      </c>
      <c r="V67" s="1">
        <v>8</v>
      </c>
    </row>
    <row r="68" spans="1:22">
      <c r="A68" s="21" t="s">
        <v>22</v>
      </c>
      <c r="B68" t="s">
        <v>7</v>
      </c>
      <c r="C68" s="7">
        <v>6784.95</v>
      </c>
      <c r="D68" s="7">
        <v>6784.5781636458796</v>
      </c>
      <c r="E68" s="3">
        <f t="shared" si="21"/>
        <v>5.4803108957354914E-3</v>
      </c>
      <c r="F68" s="1">
        <v>33</v>
      </c>
      <c r="G68" s="1">
        <v>14</v>
      </c>
      <c r="H68" s="7">
        <v>7603.55</v>
      </c>
      <c r="I68" s="7">
        <v>7602.8782857504402</v>
      </c>
      <c r="J68" s="3">
        <f t="shared" si="22"/>
        <v>8.83421887881259E-3</v>
      </c>
      <c r="K68" s="1">
        <v>55</v>
      </c>
      <c r="L68" s="1">
        <v>11</v>
      </c>
      <c r="M68" s="7">
        <v>8303.5650000000005</v>
      </c>
      <c r="N68" s="7">
        <v>8302.77889717584</v>
      </c>
      <c r="O68" s="3">
        <f t="shared" si="23"/>
        <v>9.4670520934138514E-3</v>
      </c>
      <c r="P68" s="1">
        <v>85</v>
      </c>
      <c r="Q68" s="1">
        <v>9</v>
      </c>
      <c r="R68" s="7">
        <v>8851.02</v>
      </c>
      <c r="S68" s="7">
        <v>8850.1890653028495</v>
      </c>
      <c r="T68" s="3">
        <f t="shared" si="24"/>
        <v>9.3880106151714854E-3</v>
      </c>
      <c r="U68" s="1">
        <v>89</v>
      </c>
      <c r="V68" s="1">
        <v>9</v>
      </c>
    </row>
    <row r="69" spans="1:22">
      <c r="A69" s="21"/>
      <c r="B69" t="s">
        <v>8</v>
      </c>
      <c r="C69" s="7">
        <v>6197.12</v>
      </c>
      <c r="D69" s="7">
        <v>6196.5229941584003</v>
      </c>
      <c r="E69" s="3">
        <f t="shared" si="21"/>
        <v>9.6336014406633898E-3</v>
      </c>
      <c r="F69" s="1">
        <v>48</v>
      </c>
      <c r="G69" s="1">
        <v>13</v>
      </c>
      <c r="H69" s="7">
        <v>6985.4</v>
      </c>
      <c r="I69" s="7">
        <v>6984.81576363355</v>
      </c>
      <c r="J69" s="3">
        <f t="shared" si="22"/>
        <v>8.363678049212054E-3</v>
      </c>
      <c r="K69" s="1">
        <v>59</v>
      </c>
      <c r="L69" s="1">
        <v>12</v>
      </c>
      <c r="M69" s="7">
        <v>7685.5349999999999</v>
      </c>
      <c r="N69" s="7">
        <v>7684.7839637935704</v>
      </c>
      <c r="O69" s="3">
        <f t="shared" si="23"/>
        <v>9.7720745065826842E-3</v>
      </c>
      <c r="P69" s="1">
        <v>72</v>
      </c>
      <c r="Q69" s="1">
        <v>9</v>
      </c>
      <c r="R69" s="7">
        <v>8225.3799999999992</v>
      </c>
      <c r="S69" s="7">
        <v>8224.5770896538907</v>
      </c>
      <c r="T69" s="3">
        <f t="shared" si="24"/>
        <v>9.7613769346649882E-3</v>
      </c>
      <c r="U69" s="1">
        <v>60</v>
      </c>
      <c r="V69" s="1">
        <v>9</v>
      </c>
    </row>
    <row r="70" spans="1:22">
      <c r="A70" s="21"/>
      <c r="B70" t="s">
        <v>9</v>
      </c>
      <c r="C70" s="7">
        <v>6432.8450000000003</v>
      </c>
      <c r="D70" s="7">
        <v>6432.8450000000003</v>
      </c>
      <c r="E70" s="3">
        <f t="shared" si="21"/>
        <v>0</v>
      </c>
      <c r="F70" s="1">
        <v>25</v>
      </c>
      <c r="G70" s="1">
        <v>15</v>
      </c>
      <c r="H70" s="7">
        <v>7317.67</v>
      </c>
      <c r="I70" s="7">
        <v>7316.9888767908296</v>
      </c>
      <c r="J70" s="3">
        <f t="shared" si="22"/>
        <v>9.3079246422759828E-3</v>
      </c>
      <c r="K70" s="1">
        <v>25</v>
      </c>
      <c r="L70" s="1">
        <v>12</v>
      </c>
      <c r="M70" s="7">
        <v>7932.14</v>
      </c>
      <c r="N70" s="7">
        <v>7931.4254506437801</v>
      </c>
      <c r="O70" s="3">
        <f t="shared" si="23"/>
        <v>9.0082796851824586E-3</v>
      </c>
      <c r="P70" s="1">
        <v>32</v>
      </c>
      <c r="Q70" s="1">
        <v>9</v>
      </c>
      <c r="R70" s="7">
        <v>8491.32</v>
      </c>
      <c r="S70" s="7">
        <v>8490.48</v>
      </c>
      <c r="T70" s="3">
        <f t="shared" si="24"/>
        <v>9.8924548833414054E-3</v>
      </c>
      <c r="U70" s="1">
        <v>33</v>
      </c>
      <c r="V70" s="1">
        <v>9</v>
      </c>
    </row>
    <row r="71" spans="1:22">
      <c r="A71" s="21"/>
      <c r="B71" t="s">
        <v>10</v>
      </c>
      <c r="C71" s="7">
        <v>6715.085</v>
      </c>
      <c r="D71" s="7">
        <v>6714.6368019333604</v>
      </c>
      <c r="E71" s="3">
        <f t="shared" si="21"/>
        <v>6.6744958051853983E-3</v>
      </c>
      <c r="F71" s="1">
        <v>43</v>
      </c>
      <c r="G71" s="1">
        <v>12</v>
      </c>
      <c r="H71" s="7">
        <v>7464.98</v>
      </c>
      <c r="I71" s="7">
        <v>7464.3084558383298</v>
      </c>
      <c r="J71" s="3">
        <f t="shared" si="22"/>
        <v>8.9959271380468768E-3</v>
      </c>
      <c r="K71" s="1">
        <v>58</v>
      </c>
      <c r="L71" s="1">
        <v>10</v>
      </c>
      <c r="M71" s="7">
        <v>8075.6149999999998</v>
      </c>
      <c r="N71" s="7">
        <v>8074.8419102098196</v>
      </c>
      <c r="O71" s="3">
        <f t="shared" si="23"/>
        <v>9.5731382709572654E-3</v>
      </c>
      <c r="P71" s="1">
        <v>57</v>
      </c>
      <c r="Q71" s="1">
        <v>9</v>
      </c>
      <c r="R71" s="7">
        <v>8653.1200000000008</v>
      </c>
      <c r="S71" s="7">
        <v>8652.2591997837499</v>
      </c>
      <c r="T71" s="3">
        <f t="shared" si="24"/>
        <v>9.9478594570621501E-3</v>
      </c>
      <c r="U71" s="1">
        <v>131</v>
      </c>
      <c r="V71" s="1">
        <v>9</v>
      </c>
    </row>
    <row r="72" spans="1:22">
      <c r="A72" s="21"/>
      <c r="B72" t="s">
        <v>11</v>
      </c>
      <c r="C72" s="7">
        <v>6739.11</v>
      </c>
      <c r="D72" s="7">
        <v>6738.4527403618204</v>
      </c>
      <c r="E72" s="3">
        <f t="shared" si="21"/>
        <v>9.7529145269822266E-3</v>
      </c>
      <c r="F72" s="1">
        <v>81</v>
      </c>
      <c r="G72" s="1">
        <v>13</v>
      </c>
      <c r="H72" s="7">
        <v>7579.2</v>
      </c>
      <c r="I72" s="7">
        <v>7578.73803597813</v>
      </c>
      <c r="J72" s="3">
        <f t="shared" si="22"/>
        <v>6.0951554500447216E-3</v>
      </c>
      <c r="K72" s="1">
        <v>56</v>
      </c>
      <c r="L72" s="1">
        <v>11</v>
      </c>
      <c r="M72" s="7">
        <v>8209</v>
      </c>
      <c r="N72" s="7">
        <v>8208.2105167433601</v>
      </c>
      <c r="O72" s="3">
        <f t="shared" si="23"/>
        <v>9.6172890320364111E-3</v>
      </c>
      <c r="P72" s="1">
        <v>57</v>
      </c>
      <c r="Q72" s="1">
        <v>9</v>
      </c>
      <c r="R72" s="7">
        <v>8818.1</v>
      </c>
      <c r="S72" s="7">
        <v>8817.4429036800502</v>
      </c>
      <c r="T72" s="3">
        <f t="shared" si="24"/>
        <v>7.4516768912820447E-3</v>
      </c>
      <c r="U72" s="1">
        <v>76</v>
      </c>
      <c r="V72" s="1">
        <v>9</v>
      </c>
    </row>
    <row r="73" spans="1:22">
      <c r="A73" s="21" t="s">
        <v>24</v>
      </c>
      <c r="B73" t="s">
        <v>7</v>
      </c>
      <c r="C73" s="7">
        <v>6268.5249999999996</v>
      </c>
      <c r="D73" s="7">
        <v>6268.0669776540499</v>
      </c>
      <c r="E73" s="3">
        <f t="shared" si="21"/>
        <v>7.3067004749882546E-3</v>
      </c>
      <c r="F73" s="1">
        <v>72</v>
      </c>
      <c r="G73" s="1">
        <v>15</v>
      </c>
      <c r="H73" s="7">
        <v>7272.55</v>
      </c>
      <c r="I73" s="7">
        <v>7271.8818351587197</v>
      </c>
      <c r="J73" s="3">
        <f t="shared" si="22"/>
        <v>9.1874905126879316E-3</v>
      </c>
      <c r="K73" s="1">
        <v>115</v>
      </c>
      <c r="L73" s="1">
        <v>15</v>
      </c>
      <c r="M73" s="7">
        <v>8198.98</v>
      </c>
      <c r="N73" s="7">
        <v>8198.1607979956207</v>
      </c>
      <c r="O73" s="3">
        <f t="shared" si="23"/>
        <v>9.9915111925982791E-3</v>
      </c>
      <c r="P73" s="1">
        <v>202</v>
      </c>
      <c r="Q73" s="1">
        <v>11</v>
      </c>
      <c r="R73" s="7">
        <v>8858.32</v>
      </c>
      <c r="S73" s="7">
        <v>8857.4389263807498</v>
      </c>
      <c r="T73" s="3">
        <f t="shared" si="24"/>
        <v>9.9462834854684209E-3</v>
      </c>
      <c r="U73" s="1">
        <v>392</v>
      </c>
      <c r="V73" s="1">
        <v>10</v>
      </c>
    </row>
    <row r="74" spans="1:22">
      <c r="A74" s="21"/>
      <c r="B74" t="s">
        <v>8</v>
      </c>
      <c r="C74" s="7">
        <v>6012.76</v>
      </c>
      <c r="D74" s="7">
        <v>6012.6159462956703</v>
      </c>
      <c r="E74" s="3">
        <f t="shared" si="21"/>
        <v>2.395800004157205E-3</v>
      </c>
      <c r="F74" s="1">
        <v>25</v>
      </c>
      <c r="G74" s="1">
        <v>15</v>
      </c>
      <c r="H74" s="7">
        <v>6912.38</v>
      </c>
      <c r="I74" s="7">
        <v>6911.7682867783997</v>
      </c>
      <c r="J74" s="3">
        <f t="shared" si="22"/>
        <v>8.8495311542542403E-3</v>
      </c>
      <c r="K74" s="1">
        <v>28</v>
      </c>
      <c r="L74" s="1">
        <v>11</v>
      </c>
      <c r="M74" s="7">
        <v>7500.6850000000004</v>
      </c>
      <c r="N74" s="7">
        <v>7500.29789463611</v>
      </c>
      <c r="O74" s="3">
        <f t="shared" si="23"/>
        <v>5.160933486614107E-3</v>
      </c>
      <c r="P74" s="1">
        <v>25</v>
      </c>
      <c r="Q74" s="1">
        <v>8</v>
      </c>
      <c r="R74" s="7">
        <v>7931.28</v>
      </c>
      <c r="S74" s="7">
        <v>7930.54</v>
      </c>
      <c r="T74" s="3">
        <f t="shared" si="24"/>
        <v>9.3301459537398976E-3</v>
      </c>
      <c r="U74" s="1">
        <v>38</v>
      </c>
      <c r="V74" s="1">
        <v>7</v>
      </c>
    </row>
    <row r="75" spans="1:22">
      <c r="A75" s="21"/>
      <c r="B75" t="s">
        <v>9</v>
      </c>
      <c r="C75" s="7">
        <v>6305.22</v>
      </c>
      <c r="D75" s="7">
        <v>6304.6429865936097</v>
      </c>
      <c r="E75" s="3">
        <f t="shared" si="21"/>
        <v>9.1513604028171276E-3</v>
      </c>
      <c r="F75" s="1">
        <v>88</v>
      </c>
      <c r="G75" s="1">
        <v>15</v>
      </c>
      <c r="H75" s="7">
        <v>7231.75</v>
      </c>
      <c r="I75" s="7">
        <v>7231.02911177645</v>
      </c>
      <c r="J75" s="3">
        <f t="shared" si="22"/>
        <v>9.9683786573096598E-3</v>
      </c>
      <c r="K75" s="1">
        <v>92</v>
      </c>
      <c r="L75" s="1">
        <v>13</v>
      </c>
      <c r="M75" s="7">
        <v>8004.96</v>
      </c>
      <c r="N75" s="7">
        <v>8004.1744533016899</v>
      </c>
      <c r="O75" s="3">
        <f t="shared" si="23"/>
        <v>9.8132495141774554E-3</v>
      </c>
      <c r="P75" s="1">
        <v>123</v>
      </c>
      <c r="Q75" s="1">
        <v>11</v>
      </c>
      <c r="R75" s="7">
        <v>8658.9</v>
      </c>
      <c r="S75" s="7">
        <v>8658.0560545354001</v>
      </c>
      <c r="T75" s="3">
        <f t="shared" si="24"/>
        <v>9.7465667070820577E-3</v>
      </c>
      <c r="U75" s="1">
        <v>156</v>
      </c>
      <c r="V75" s="1">
        <v>10</v>
      </c>
    </row>
    <row r="76" spans="1:22">
      <c r="A76" s="21"/>
      <c r="B76" t="s">
        <v>10</v>
      </c>
      <c r="C76" s="7">
        <v>6684.9650000000001</v>
      </c>
      <c r="D76" s="7">
        <v>6684.3278862561301</v>
      </c>
      <c r="E76" s="3">
        <f t="shared" si="21"/>
        <v>9.5305471886544153E-3</v>
      </c>
      <c r="F76" s="1">
        <v>120</v>
      </c>
      <c r="G76" s="1">
        <v>16</v>
      </c>
      <c r="H76" s="7">
        <v>7769.13</v>
      </c>
      <c r="I76" s="7">
        <v>7769.13</v>
      </c>
      <c r="J76" s="3">
        <f t="shared" si="22"/>
        <v>0</v>
      </c>
      <c r="K76" s="1">
        <v>407</v>
      </c>
      <c r="L76" s="1">
        <v>11</v>
      </c>
      <c r="M76" s="7">
        <v>8506.8150000000005</v>
      </c>
      <c r="N76" s="7">
        <v>8505.9675000000007</v>
      </c>
      <c r="O76" s="3">
        <f t="shared" si="23"/>
        <v>9.9626005737735515E-3</v>
      </c>
      <c r="P76" s="1">
        <v>1061</v>
      </c>
      <c r="Q76" s="1">
        <v>10</v>
      </c>
      <c r="R76" s="7">
        <v>9096.48</v>
      </c>
      <c r="S76" s="7">
        <v>8924.8601935543993</v>
      </c>
      <c r="T76" s="3">
        <f t="shared" si="24"/>
        <v>1.8866617245967701</v>
      </c>
      <c r="U76" s="1">
        <v>3600</v>
      </c>
      <c r="V76" s="1">
        <v>9</v>
      </c>
    </row>
    <row r="77" spans="1:22">
      <c r="A77" s="21"/>
      <c r="B77" t="s">
        <v>11</v>
      </c>
      <c r="C77" s="7">
        <v>6141.8850000000002</v>
      </c>
      <c r="D77" s="7">
        <v>6141.3682986875501</v>
      </c>
      <c r="E77" s="3">
        <f t="shared" si="21"/>
        <v>8.4127480805989609E-3</v>
      </c>
      <c r="F77" s="1">
        <v>58</v>
      </c>
      <c r="G77" s="1">
        <v>16</v>
      </c>
      <c r="H77" s="7">
        <v>6977.55</v>
      </c>
      <c r="I77" s="7">
        <v>6976.8904696470399</v>
      </c>
      <c r="J77" s="3">
        <f t="shared" si="22"/>
        <v>9.4521766660252676E-3</v>
      </c>
      <c r="K77" s="1">
        <v>243</v>
      </c>
      <c r="L77" s="1">
        <v>12</v>
      </c>
      <c r="M77" s="7">
        <v>7682.0249999999996</v>
      </c>
      <c r="N77" s="7">
        <v>7681.26004856707</v>
      </c>
      <c r="O77" s="3">
        <f t="shared" si="23"/>
        <v>9.9576795562314954E-3</v>
      </c>
      <c r="P77" s="1">
        <v>274</v>
      </c>
      <c r="Q77" s="1">
        <v>12</v>
      </c>
      <c r="R77" s="7">
        <v>8253.02</v>
      </c>
      <c r="S77" s="7">
        <v>8252.2206507793799</v>
      </c>
      <c r="T77" s="3">
        <f t="shared" si="24"/>
        <v>9.6855359689007187E-3</v>
      </c>
      <c r="U77" s="1">
        <v>570</v>
      </c>
      <c r="V77" s="1">
        <v>9</v>
      </c>
    </row>
    <row r="78" spans="1:22">
      <c r="A78" s="21" t="s">
        <v>26</v>
      </c>
      <c r="B78" t="s">
        <v>7</v>
      </c>
      <c r="C78" s="7">
        <v>6123.6549999999997</v>
      </c>
      <c r="D78" s="7">
        <v>6123.0594227135298</v>
      </c>
      <c r="E78" s="3">
        <f t="shared" si="21"/>
        <v>9.7258465160098197E-3</v>
      </c>
      <c r="F78" s="1">
        <v>148</v>
      </c>
      <c r="G78" s="1">
        <v>15</v>
      </c>
      <c r="H78" s="7">
        <v>7105.45</v>
      </c>
      <c r="I78" s="7">
        <v>7104.7674806433897</v>
      </c>
      <c r="J78" s="3">
        <f t="shared" si="22"/>
        <v>9.6055753908633607E-3</v>
      </c>
      <c r="K78" s="1">
        <v>69</v>
      </c>
      <c r="L78" s="1">
        <v>11</v>
      </c>
      <c r="M78" s="7">
        <v>7756.7049999999999</v>
      </c>
      <c r="N78" s="7">
        <v>7756.7049999999999</v>
      </c>
      <c r="O78" s="3">
        <f t="shared" si="23"/>
        <v>0</v>
      </c>
      <c r="P78" s="1">
        <v>65</v>
      </c>
      <c r="Q78" s="1">
        <v>9</v>
      </c>
      <c r="R78" s="7">
        <v>8331.14</v>
      </c>
      <c r="S78" s="7">
        <v>8330.3078476813098</v>
      </c>
      <c r="T78" s="3">
        <f t="shared" si="24"/>
        <v>9.9884567861015777E-3</v>
      </c>
      <c r="U78" s="1">
        <v>143</v>
      </c>
      <c r="V78" s="1">
        <v>9</v>
      </c>
    </row>
    <row r="79" spans="1:22">
      <c r="A79" s="21"/>
      <c r="B79" t="s">
        <v>8</v>
      </c>
      <c r="C79" s="7">
        <v>6116.75</v>
      </c>
      <c r="D79" s="7">
        <v>6116.1834986502299</v>
      </c>
      <c r="E79" s="3">
        <f t="shared" si="21"/>
        <v>9.2614762704063165E-3</v>
      </c>
      <c r="F79" s="1">
        <v>381</v>
      </c>
      <c r="G79" s="1">
        <v>17</v>
      </c>
      <c r="H79" s="7">
        <v>7096.92</v>
      </c>
      <c r="I79" s="7">
        <v>7096.2147673316504</v>
      </c>
      <c r="J79" s="3">
        <f t="shared" si="22"/>
        <v>9.9371652540779457E-3</v>
      </c>
      <c r="K79" s="1">
        <v>260</v>
      </c>
      <c r="L79" s="1">
        <v>13</v>
      </c>
      <c r="M79" s="7">
        <v>7757.6750000000002</v>
      </c>
      <c r="N79" s="7">
        <v>7756.9059904266896</v>
      </c>
      <c r="O79" s="3">
        <f t="shared" si="23"/>
        <v>9.9128872156998178E-3</v>
      </c>
      <c r="P79" s="1">
        <v>445</v>
      </c>
      <c r="Q79" s="1">
        <v>10</v>
      </c>
      <c r="R79" s="7">
        <v>8307.48</v>
      </c>
      <c r="S79" s="7">
        <v>8306.6659406991093</v>
      </c>
      <c r="T79" s="3">
        <f t="shared" si="24"/>
        <v>9.7991123769208162E-3</v>
      </c>
      <c r="U79" s="1">
        <v>297</v>
      </c>
      <c r="V79" s="1">
        <v>9</v>
      </c>
    </row>
    <row r="80" spans="1:22">
      <c r="A80" s="21"/>
      <c r="B80" t="s">
        <v>9</v>
      </c>
      <c r="C80" s="7">
        <v>6283.11</v>
      </c>
      <c r="D80" s="7">
        <v>6282.4933898688996</v>
      </c>
      <c r="E80" s="3">
        <f t="shared" si="21"/>
        <v>9.8137726555807599E-3</v>
      </c>
      <c r="F80" s="1">
        <v>430</v>
      </c>
      <c r="G80" s="1">
        <v>17</v>
      </c>
      <c r="H80" s="7">
        <v>7284.1</v>
      </c>
      <c r="I80" s="7">
        <v>7283.40016641273</v>
      </c>
      <c r="J80" s="3">
        <f t="shared" si="22"/>
        <v>9.6076878031658638E-3</v>
      </c>
      <c r="K80" s="1">
        <v>464</v>
      </c>
      <c r="L80" s="1">
        <v>13</v>
      </c>
      <c r="M80" s="7">
        <v>7971.11</v>
      </c>
      <c r="N80" s="7">
        <v>7970.3191942766098</v>
      </c>
      <c r="O80" s="3">
        <f t="shared" si="23"/>
        <v>9.9208983866725525E-3</v>
      </c>
      <c r="P80" s="1">
        <v>287</v>
      </c>
      <c r="Q80" s="1">
        <v>9</v>
      </c>
      <c r="R80" s="7">
        <v>8504.5400000000009</v>
      </c>
      <c r="S80" s="7">
        <v>8503.69072407559</v>
      </c>
      <c r="T80" s="3">
        <f t="shared" si="24"/>
        <v>9.9861476859524883E-3</v>
      </c>
      <c r="U80" s="1">
        <v>827</v>
      </c>
      <c r="V80" s="1">
        <v>8</v>
      </c>
    </row>
    <row r="81" spans="1:22">
      <c r="A81" s="21"/>
      <c r="B81" t="s">
        <v>10</v>
      </c>
      <c r="C81" s="7">
        <v>6022.69</v>
      </c>
      <c r="D81" s="7">
        <v>6022.1236001478701</v>
      </c>
      <c r="E81" s="3">
        <f t="shared" si="21"/>
        <v>9.4044331043023482E-3</v>
      </c>
      <c r="F81" s="1">
        <v>178</v>
      </c>
      <c r="G81" s="1">
        <v>18</v>
      </c>
      <c r="H81" s="7">
        <v>7041.08</v>
      </c>
      <c r="I81" s="7">
        <v>7040.3859308256497</v>
      </c>
      <c r="J81" s="3">
        <f t="shared" si="22"/>
        <v>9.8574249170618883E-3</v>
      </c>
      <c r="K81" s="1">
        <v>279</v>
      </c>
      <c r="L81" s="1">
        <v>14</v>
      </c>
      <c r="M81" s="7">
        <v>7766.44</v>
      </c>
      <c r="N81" s="7">
        <v>7765.6675522346804</v>
      </c>
      <c r="O81" s="3">
        <f t="shared" si="23"/>
        <v>9.9459696504338811E-3</v>
      </c>
      <c r="P81" s="1">
        <v>219</v>
      </c>
      <c r="Q81" s="1">
        <v>11</v>
      </c>
      <c r="R81" s="7">
        <v>8357.58</v>
      </c>
      <c r="S81" s="7">
        <v>8356.7511499050106</v>
      </c>
      <c r="T81" s="3">
        <f t="shared" si="24"/>
        <v>9.9173456310238193E-3</v>
      </c>
      <c r="U81" s="1">
        <v>406</v>
      </c>
      <c r="V81" s="1">
        <v>10</v>
      </c>
    </row>
    <row r="82" spans="1:22">
      <c r="A82" s="21"/>
      <c r="B82" t="s">
        <v>11</v>
      </c>
      <c r="C82" s="7">
        <v>5883.3950000000004</v>
      </c>
      <c r="D82" s="7">
        <v>5882.8111201486599</v>
      </c>
      <c r="E82" s="3">
        <f t="shared" si="21"/>
        <v>9.9241994008646053E-3</v>
      </c>
      <c r="F82" s="1">
        <v>229</v>
      </c>
      <c r="G82" s="1">
        <v>17</v>
      </c>
      <c r="H82" s="7">
        <v>6913.05</v>
      </c>
      <c r="I82" s="7">
        <v>6912.36216382776</v>
      </c>
      <c r="J82" s="3">
        <f t="shared" si="22"/>
        <v>9.9498220357174885E-3</v>
      </c>
      <c r="K82" s="1">
        <v>327</v>
      </c>
      <c r="L82" s="1">
        <v>14</v>
      </c>
      <c r="M82" s="7">
        <v>7767.55</v>
      </c>
      <c r="N82" s="7">
        <v>7766.7778231792199</v>
      </c>
      <c r="O82" s="3">
        <f t="shared" si="23"/>
        <v>9.9410601898959096E-3</v>
      </c>
      <c r="P82" s="1">
        <v>1341</v>
      </c>
      <c r="Q82" s="1">
        <v>12</v>
      </c>
      <c r="R82" s="7">
        <v>8339.86</v>
      </c>
      <c r="S82" s="7">
        <v>8339.0268438519306</v>
      </c>
      <c r="T82" s="3">
        <f t="shared" si="24"/>
        <v>9.9900495700164585E-3</v>
      </c>
      <c r="U82" s="1">
        <v>1926</v>
      </c>
      <c r="V82" s="1">
        <v>9</v>
      </c>
    </row>
  </sheetData>
  <mergeCells count="32">
    <mergeCell ref="AF1:AJ1"/>
    <mergeCell ref="AK1:AO1"/>
    <mergeCell ref="AP1:AT1"/>
    <mergeCell ref="Y3:Y6"/>
    <mergeCell ref="A63:A67"/>
    <mergeCell ref="H1:L1"/>
    <mergeCell ref="R1:V1"/>
    <mergeCell ref="A3:A7"/>
    <mergeCell ref="A8:A12"/>
    <mergeCell ref="Y7:Z7"/>
    <mergeCell ref="Y22:Z22"/>
    <mergeCell ref="Y12:Z12"/>
    <mergeCell ref="Y17:Z17"/>
    <mergeCell ref="Y8:Y11"/>
    <mergeCell ref="Y13:Y16"/>
    <mergeCell ref="Y18:Y21"/>
    <mergeCell ref="A68:A72"/>
    <mergeCell ref="A73:A77"/>
    <mergeCell ref="A78:A82"/>
    <mergeCell ref="AA1:AE1"/>
    <mergeCell ref="A23:A27"/>
    <mergeCell ref="A28:A32"/>
    <mergeCell ref="A33:A37"/>
    <mergeCell ref="A38:A42"/>
    <mergeCell ref="A43:A47"/>
    <mergeCell ref="A48:A52"/>
    <mergeCell ref="A53:A57"/>
    <mergeCell ref="A58:A62"/>
    <mergeCell ref="A13:A17"/>
    <mergeCell ref="A18:A22"/>
    <mergeCell ref="M1:Q1"/>
    <mergeCell ref="C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8644-E83F-7447-A1A2-368471ED903B}">
  <dimension ref="A1:L14"/>
  <sheetViews>
    <sheetView workbookViewId="0">
      <selection activeCell="L25" sqref="L25"/>
    </sheetView>
  </sheetViews>
  <sheetFormatPr baseColWidth="10" defaultRowHeight="15"/>
  <sheetData>
    <row r="1" spans="1:12">
      <c r="A1" s="9"/>
      <c r="B1" s="1"/>
      <c r="C1" s="20" t="s">
        <v>97</v>
      </c>
      <c r="D1" s="20"/>
      <c r="E1" s="20"/>
      <c r="F1" s="20"/>
      <c r="G1" s="20"/>
      <c r="H1" s="20" t="s">
        <v>98</v>
      </c>
      <c r="I1" s="20"/>
      <c r="J1" s="20"/>
      <c r="K1" s="20"/>
      <c r="L1" s="20"/>
    </row>
    <row r="2" spans="1:12">
      <c r="A2" t="s">
        <v>68</v>
      </c>
      <c r="B2" t="s">
        <v>61</v>
      </c>
      <c r="C2" s="1" t="s">
        <v>99</v>
      </c>
      <c r="D2" s="10" t="s">
        <v>69</v>
      </c>
      <c r="E2" s="10" t="s">
        <v>70</v>
      </c>
      <c r="F2" t="s">
        <v>71</v>
      </c>
      <c r="G2" t="s">
        <v>72</v>
      </c>
      <c r="H2" s="1" t="s">
        <v>99</v>
      </c>
      <c r="I2" s="10" t="s">
        <v>69</v>
      </c>
      <c r="J2" s="10" t="s">
        <v>70</v>
      </c>
      <c r="K2" t="s">
        <v>76</v>
      </c>
      <c r="L2" t="s">
        <v>72</v>
      </c>
    </row>
    <row r="3" spans="1:12">
      <c r="A3" s="38">
        <v>0.05</v>
      </c>
      <c r="B3" s="39">
        <v>1</v>
      </c>
      <c r="C3" s="39">
        <v>0</v>
      </c>
      <c r="D3" s="40">
        <v>7306.53064000002</v>
      </c>
      <c r="E3" s="40">
        <v>197.709056975143</v>
      </c>
      <c r="F3" s="40">
        <v>7698</v>
      </c>
      <c r="G3" s="40">
        <v>7894.7788</v>
      </c>
      <c r="H3" s="39">
        <v>0</v>
      </c>
      <c r="I3" s="40">
        <v>7301.7699600000497</v>
      </c>
      <c r="J3" s="40">
        <v>187.60077503782699</v>
      </c>
      <c r="K3" s="40">
        <v>7635.08</v>
      </c>
      <c r="L3" s="40">
        <v>7861.1207999999997</v>
      </c>
    </row>
    <row r="4" spans="1:12">
      <c r="A4" s="38"/>
      <c r="B4" s="39">
        <v>2</v>
      </c>
      <c r="C4" s="39">
        <v>0</v>
      </c>
      <c r="D4" s="40">
        <v>7531.0380099999402</v>
      </c>
      <c r="E4" s="40">
        <v>159.85737548401201</v>
      </c>
      <c r="F4" s="40">
        <v>7847.03</v>
      </c>
      <c r="G4" s="40">
        <v>7993.2092000000102</v>
      </c>
      <c r="H4" s="39">
        <v>0</v>
      </c>
      <c r="I4" s="40">
        <v>7527.1708599999401</v>
      </c>
      <c r="J4" s="40">
        <v>151.79647185797401</v>
      </c>
      <c r="K4" s="40">
        <v>7845.91</v>
      </c>
      <c r="L4" s="40">
        <v>7970.7772000000004</v>
      </c>
    </row>
    <row r="5" spans="1:12">
      <c r="A5" s="38"/>
      <c r="B5" s="39">
        <v>3</v>
      </c>
      <c r="C5" s="39">
        <v>0</v>
      </c>
      <c r="D5" s="40">
        <v>7615.3146400000696</v>
      </c>
      <c r="E5" s="40">
        <v>151.30802856748599</v>
      </c>
      <c r="F5" s="40">
        <v>7916.54</v>
      </c>
      <c r="G5" s="40">
        <v>8046.1152000000002</v>
      </c>
      <c r="H5" s="39">
        <v>0</v>
      </c>
      <c r="I5" s="40">
        <v>7612.28910000004</v>
      </c>
      <c r="J5" s="40">
        <v>145.29751680183199</v>
      </c>
      <c r="K5" s="40">
        <v>7904.76</v>
      </c>
      <c r="L5" s="40">
        <v>8030.95</v>
      </c>
    </row>
    <row r="6" spans="1:12">
      <c r="A6" s="42">
        <v>0.1</v>
      </c>
      <c r="B6" s="43">
        <v>1</v>
      </c>
      <c r="C6" s="44">
        <v>1E-3</v>
      </c>
      <c r="D6" s="45">
        <v>7447.2617317317099</v>
      </c>
      <c r="E6" s="45">
        <v>325.15908568654999</v>
      </c>
      <c r="F6" s="45">
        <v>7993.28</v>
      </c>
      <c r="G6" s="45">
        <v>8380.5123999999996</v>
      </c>
      <c r="H6" s="44">
        <v>0</v>
      </c>
      <c r="I6" s="45">
        <v>7434.0179600000201</v>
      </c>
      <c r="J6" s="45">
        <v>297.47572391668803</v>
      </c>
      <c r="K6" s="45">
        <v>7926.35</v>
      </c>
      <c r="L6" s="45">
        <v>8276.4516000000003</v>
      </c>
    </row>
    <row r="7" spans="1:12">
      <c r="A7" s="42"/>
      <c r="B7" s="43">
        <v>2</v>
      </c>
      <c r="C7" s="44">
        <v>0</v>
      </c>
      <c r="D7" s="45">
        <v>7659.7968799999899</v>
      </c>
      <c r="E7" s="45">
        <v>243.93604876309601</v>
      </c>
      <c r="F7" s="45">
        <v>8131.3</v>
      </c>
      <c r="G7" s="45">
        <v>8343.2541999999994</v>
      </c>
      <c r="H7" s="44">
        <v>0</v>
      </c>
      <c r="I7" s="45">
        <v>7649.8640299999997</v>
      </c>
      <c r="J7" s="45">
        <v>229.28229335058401</v>
      </c>
      <c r="K7" s="45">
        <v>8112.32</v>
      </c>
      <c r="L7" s="45">
        <v>8292.6417999999994</v>
      </c>
    </row>
    <row r="8" spans="1:12">
      <c r="A8" s="42"/>
      <c r="B8" s="43">
        <v>3</v>
      </c>
      <c r="C8" s="44">
        <v>0</v>
      </c>
      <c r="D8" s="45">
        <v>7740.4132200000004</v>
      </c>
      <c r="E8" s="45">
        <v>228.15096742369499</v>
      </c>
      <c r="F8" s="45">
        <v>8161.07</v>
      </c>
      <c r="G8" s="45">
        <v>8381.2865999999995</v>
      </c>
      <c r="H8" s="44">
        <v>0</v>
      </c>
      <c r="I8" s="45">
        <v>7732.4344499999697</v>
      </c>
      <c r="J8" s="45">
        <v>217.650850535063</v>
      </c>
      <c r="K8" s="45">
        <v>8151.86</v>
      </c>
      <c r="L8" s="45">
        <v>8341.9508000000005</v>
      </c>
    </row>
    <row r="9" spans="1:12">
      <c r="A9" s="38">
        <v>0.2</v>
      </c>
      <c r="B9" s="39">
        <v>1</v>
      </c>
      <c r="C9" s="41">
        <v>0.01</v>
      </c>
      <c r="D9" s="40">
        <v>7706.9444747474499</v>
      </c>
      <c r="E9" s="40">
        <v>469.24263939972002</v>
      </c>
      <c r="F9" s="40">
        <v>8691.57</v>
      </c>
      <c r="G9" s="40">
        <v>9064.9580000000005</v>
      </c>
      <c r="H9" s="41">
        <v>5.0000000000000001E-3</v>
      </c>
      <c r="I9" s="40">
        <v>7677.88582914573</v>
      </c>
      <c r="J9" s="40">
        <v>432.16370905611899</v>
      </c>
      <c r="K9" s="40">
        <v>8486.23</v>
      </c>
      <c r="L9" s="40">
        <v>8882.2302</v>
      </c>
    </row>
    <row r="10" spans="1:12">
      <c r="A10" s="38"/>
      <c r="B10" s="39">
        <v>2</v>
      </c>
      <c r="C10" s="41">
        <v>2E-3</v>
      </c>
      <c r="D10" s="40">
        <v>7900.7378456913902</v>
      </c>
      <c r="E10" s="40">
        <v>375.68110053843901</v>
      </c>
      <c r="F10" s="40">
        <v>8552.36</v>
      </c>
      <c r="G10" s="40">
        <v>8900.9563999999991</v>
      </c>
      <c r="H10" s="41">
        <v>0</v>
      </c>
      <c r="I10" s="40">
        <v>7885.0234</v>
      </c>
      <c r="J10" s="40">
        <v>369.584704451638</v>
      </c>
      <c r="K10" s="40">
        <v>8509.7999999999993</v>
      </c>
      <c r="L10" s="40">
        <v>8863.1497999999992</v>
      </c>
    </row>
    <row r="11" spans="1:12">
      <c r="A11" s="38"/>
      <c r="B11" s="39">
        <v>3</v>
      </c>
      <c r="C11" s="41">
        <v>0</v>
      </c>
      <c r="D11" s="40">
        <v>7972.2721700000102</v>
      </c>
      <c r="E11" s="40">
        <v>345.06024531389698</v>
      </c>
      <c r="F11" s="40">
        <v>8581.16</v>
      </c>
      <c r="G11" s="40">
        <v>8898.0360000000001</v>
      </c>
      <c r="H11" s="41">
        <v>0</v>
      </c>
      <c r="I11" s="40">
        <v>7956.4212099999904</v>
      </c>
      <c r="J11" s="40">
        <v>326.51739734569298</v>
      </c>
      <c r="K11" s="40">
        <v>8547.7099999999991</v>
      </c>
      <c r="L11" s="40">
        <v>8821.0676000000003</v>
      </c>
    </row>
    <row r="12" spans="1:12">
      <c r="A12" s="42">
        <v>0.3</v>
      </c>
      <c r="B12" s="43">
        <v>1</v>
      </c>
      <c r="C12" s="44">
        <v>4.2000000000000003E-2</v>
      </c>
      <c r="D12" s="45">
        <v>8064.3261064718099</v>
      </c>
      <c r="E12" s="45">
        <v>666.82810507181205</v>
      </c>
      <c r="F12" s="45">
        <v>9438.19</v>
      </c>
      <c r="G12" s="45">
        <v>9965.1802083333296</v>
      </c>
      <c r="H12" s="44">
        <v>2.7E-2</v>
      </c>
      <c r="I12" s="45">
        <v>7988.9561151079097</v>
      </c>
      <c r="J12" s="45">
        <v>560.47887803426295</v>
      </c>
      <c r="K12" s="45">
        <v>8945.0400000000009</v>
      </c>
      <c r="L12" s="45">
        <v>9529.0359183673409</v>
      </c>
    </row>
    <row r="13" spans="1:12">
      <c r="A13" s="42"/>
      <c r="B13" s="43">
        <v>2</v>
      </c>
      <c r="C13" s="44">
        <v>1.0999999999999999E-2</v>
      </c>
      <c r="D13" s="45">
        <v>8217.4297876642995</v>
      </c>
      <c r="E13" s="45">
        <v>542.41441883095501</v>
      </c>
      <c r="F13" s="45">
        <v>9149.69</v>
      </c>
      <c r="G13" s="45">
        <v>9706.2011999999995</v>
      </c>
      <c r="H13" s="44">
        <v>4.0000000000000001E-3</v>
      </c>
      <c r="I13" s="45">
        <v>8184.1857329317199</v>
      </c>
      <c r="J13" s="45">
        <v>506.45359680820201</v>
      </c>
      <c r="K13" s="45">
        <v>9042.89</v>
      </c>
      <c r="L13" s="45">
        <v>9552.2559999999994</v>
      </c>
    </row>
    <row r="14" spans="1:12">
      <c r="A14" s="42"/>
      <c r="B14" s="43">
        <v>3</v>
      </c>
      <c r="C14" s="44">
        <v>2E-3</v>
      </c>
      <c r="D14" s="45">
        <v>8290.0906012024006</v>
      </c>
      <c r="E14" s="45">
        <v>500.99818013475198</v>
      </c>
      <c r="F14" s="45">
        <v>9150.1299999999992</v>
      </c>
      <c r="G14" s="45">
        <v>9726.2741999999998</v>
      </c>
      <c r="H14" s="44">
        <v>0</v>
      </c>
      <c r="I14" s="45">
        <v>8254.9602799999902</v>
      </c>
      <c r="J14" s="45">
        <v>448.13573860487497</v>
      </c>
      <c r="K14" s="45">
        <v>9044.99</v>
      </c>
      <c r="L14" s="45">
        <v>9479.6149999999998</v>
      </c>
    </row>
  </sheetData>
  <mergeCells count="6">
    <mergeCell ref="H1:L1"/>
    <mergeCell ref="A12:A14"/>
    <mergeCell ref="A9:A11"/>
    <mergeCell ref="A6:A8"/>
    <mergeCell ref="A3:A5"/>
    <mergeCell ref="C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Section5.1-NeBACv.s.CCG</vt:lpstr>
      <vt:lpstr>Section5.2-Eva enhancement</vt:lpstr>
      <vt:lpstr>Section5.3-RobustnessAssess</vt:lpstr>
      <vt:lpstr>SectionEC.4.4-SensiAnaly</vt:lpstr>
      <vt:lpstr>SectionEC.5-v.s.ArcFlowModel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Feng</dc:creator>
  <cp:lastModifiedBy>Tao Feng</cp:lastModifiedBy>
  <dcterms:created xsi:type="dcterms:W3CDTF">2015-06-05T18:19:34Z</dcterms:created>
  <dcterms:modified xsi:type="dcterms:W3CDTF">2026-08-30T12:27:01Z</dcterms:modified>
</cp:coreProperties>
</file>